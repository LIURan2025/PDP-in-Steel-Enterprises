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ocument\phd horizontal topic\宝钢研究资料\多基地生产分工协同\code\在线分享文件\paper_shared_data\results\"/>
    </mc:Choice>
  </mc:AlternateContent>
  <xr:revisionPtr revIDLastSave="0" documentId="13_ncr:1_{A57F46B2-FDD1-4DFB-8999-0B1A744FF37C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instance_results" sheetId="1" r:id="rId1"/>
    <sheet name="scenario_averages" sheetId="2" r:id="rId2"/>
  </sheets>
  <calcPr calcId="191029"/>
</workbook>
</file>

<file path=xl/calcChain.xml><?xml version="1.0" encoding="utf-8"?>
<calcChain xmlns="http://schemas.openxmlformats.org/spreadsheetml/2006/main">
  <c r="G7" i="2" l="1"/>
  <c r="F7" i="2"/>
  <c r="E7" i="2"/>
  <c r="D7" i="2"/>
  <c r="C7" i="2"/>
  <c r="G6" i="2"/>
  <c r="F6" i="2"/>
  <c r="E6" i="2"/>
  <c r="D6" i="2"/>
  <c r="C6" i="2"/>
  <c r="G5" i="2"/>
  <c r="F5" i="2"/>
  <c r="E5" i="2"/>
  <c r="D5" i="2"/>
  <c r="C5" i="2"/>
  <c r="G4" i="2"/>
  <c r="F4" i="2"/>
  <c r="E4" i="2"/>
  <c r="D4" i="2"/>
  <c r="C4" i="2"/>
  <c r="G3" i="2"/>
  <c r="F3" i="2"/>
  <c r="E3" i="2"/>
  <c r="D3" i="2"/>
  <c r="C3" i="2"/>
  <c r="G2" i="2"/>
  <c r="F2" i="2"/>
  <c r="E2" i="2"/>
  <c r="D2" i="2"/>
  <c r="C2" i="2"/>
</calcChain>
</file>

<file path=xl/sharedStrings.xml><?xml version="1.0" encoding="utf-8"?>
<sst xmlns="http://schemas.openxmlformats.org/spreadsheetml/2006/main" count="147" uniqueCount="18">
  <si>
    <t>instance</t>
  </si>
  <si>
    <t>procurement_price</t>
  </si>
  <si>
    <t>scenario</t>
  </si>
  <si>
    <t>total_profit_CNY</t>
  </si>
  <si>
    <t>sales_revenue_CNY</t>
  </si>
  <si>
    <t>external_procurement_cost_CNY</t>
  </si>
  <si>
    <t>external_procurement_quantity_t</t>
  </si>
  <si>
    <t>transport_cost_CNY</t>
  </si>
  <si>
    <t>low</t>
  </si>
  <si>
    <t>full_interplant</t>
  </si>
  <si>
    <t>no_interplant</t>
  </si>
  <si>
    <t>base</t>
  </si>
  <si>
    <t>high</t>
  </si>
  <si>
    <t>average_total_profit_CNY</t>
  </si>
  <si>
    <t>average_sales_revenue_CNY</t>
  </si>
  <si>
    <t>average_external_procurement_cost_CNY</t>
  </si>
  <si>
    <t>average_external_procurement_quantity_t</t>
  </si>
  <si>
    <t>average_transport_cost_CNY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</si>
</sst>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</font>
    <font>
      <b/>
      <sz val="10"/>
      <color rgb="FFFFFFFF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4" fontId="2" fillId="0" borderId="1" xfId="0" applyNumberFormat="1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showGridLines="0" workbookViewId="0">
      <selection activeCell="B1" sqref="B1"/>
    </sheetView>
  </sheetViews>
  <sheetFormatPr defaultRowHeight="13.5" x14ac:dyDescent="0.3"/>
  <cols>
    <col min="1" max="1" width="12" customWidth="1"/>
    <col min="2" max="2" width="18.46484375" customWidth="1"/>
    <col min="3" max="3" width="17" customWidth="1"/>
    <col min="4" max="5" width="19" customWidth="1"/>
    <col min="6" max="6" width="28" customWidth="1"/>
    <col min="7" max="7" width="30" customWidth="1"/>
    <col min="8" max="8" width="20" customWidth="1"/>
  </cols>
  <sheetData>
    <row r="1" spans="1:8" ht="3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9</v>
      </c>
      <c r="D2" s="3">
        <v>836456229.89048612</v>
      </c>
      <c r="E2" s="3">
        <v>3717139819.5239558</v>
      </c>
      <c r="F2" s="3">
        <v>103107455.0421689</v>
      </c>
      <c r="G2" s="4">
        <v>5568800.0047511589</v>
      </c>
      <c r="H2" s="3">
        <v>380132485.39565992</v>
      </c>
    </row>
    <row r="3" spans="1:8" x14ac:dyDescent="0.3">
      <c r="A3" s="2">
        <v>2</v>
      </c>
      <c r="B3" s="2" t="s">
        <v>8</v>
      </c>
      <c r="C3" s="2" t="s">
        <v>9</v>
      </c>
      <c r="D3" s="3">
        <v>1031032912.755734</v>
      </c>
      <c r="E3" s="3">
        <v>4525501585.0194664</v>
      </c>
      <c r="F3" s="3">
        <v>163770220.15912089</v>
      </c>
      <c r="G3" s="4">
        <v>9057600.0588099714</v>
      </c>
      <c r="H3" s="3">
        <v>433636400.04956043</v>
      </c>
    </row>
    <row r="4" spans="1:8" x14ac:dyDescent="0.3">
      <c r="A4" s="2">
        <v>3</v>
      </c>
      <c r="B4" s="2" t="s">
        <v>8</v>
      </c>
      <c r="C4" s="2" t="s">
        <v>9</v>
      </c>
      <c r="D4" s="3">
        <v>1019035181.63036</v>
      </c>
      <c r="E4" s="3">
        <v>4472048945.8025284</v>
      </c>
      <c r="F4" s="3">
        <v>166078816.194475</v>
      </c>
      <c r="G4" s="4">
        <v>9205200.0405147802</v>
      </c>
      <c r="H4" s="3">
        <v>436279513.75472099</v>
      </c>
    </row>
    <row r="5" spans="1:8" x14ac:dyDescent="0.3">
      <c r="A5" s="2">
        <v>4</v>
      </c>
      <c r="B5" s="2" t="s">
        <v>8</v>
      </c>
      <c r="C5" s="2" t="s">
        <v>9</v>
      </c>
      <c r="D5" s="3">
        <v>1147980288.0702789</v>
      </c>
      <c r="E5" s="3">
        <v>4792016494.889781</v>
      </c>
      <c r="F5" s="3">
        <v>230329011.71749929</v>
      </c>
      <c r="G5" s="4">
        <v>12524800.01654393</v>
      </c>
      <c r="H5" s="3">
        <v>448984882.05301452</v>
      </c>
    </row>
    <row r="6" spans="1:8" x14ac:dyDescent="0.3">
      <c r="A6" s="2">
        <v>5</v>
      </c>
      <c r="B6" s="2" t="s">
        <v>8</v>
      </c>
      <c r="C6" s="2" t="s">
        <v>9</v>
      </c>
      <c r="D6" s="3">
        <v>1051469903.4429671</v>
      </c>
      <c r="E6" s="3">
        <v>4618114747.2455864</v>
      </c>
      <c r="F6" s="3">
        <v>221270632.98940179</v>
      </c>
      <c r="G6" s="4">
        <v>12163200.011259681</v>
      </c>
      <c r="H6" s="3">
        <v>480228565.64932108</v>
      </c>
    </row>
    <row r="7" spans="1:8" x14ac:dyDescent="0.3">
      <c r="A7" s="2">
        <v>6</v>
      </c>
      <c r="B7" s="2" t="s">
        <v>8</v>
      </c>
      <c r="C7" s="2" t="s">
        <v>9</v>
      </c>
      <c r="D7" s="3">
        <v>1142790619.2391701</v>
      </c>
      <c r="E7" s="3">
        <v>4676854135.3167706</v>
      </c>
      <c r="F7" s="3">
        <v>226258968.50438899</v>
      </c>
      <c r="G7" s="4">
        <v>12460000.002717</v>
      </c>
      <c r="H7" s="3">
        <v>431259969.66606981</v>
      </c>
    </row>
    <row r="8" spans="1:8" x14ac:dyDescent="0.3">
      <c r="A8" s="2">
        <v>7</v>
      </c>
      <c r="B8" s="2" t="s">
        <v>8</v>
      </c>
      <c r="C8" s="2" t="s">
        <v>9</v>
      </c>
      <c r="D8" s="3">
        <v>1406765528.1649361</v>
      </c>
      <c r="E8" s="3">
        <v>5729066076.2743425</v>
      </c>
      <c r="F8" s="3">
        <v>342093679.27974433</v>
      </c>
      <c r="G8" s="4">
        <v>18707600.017669141</v>
      </c>
      <c r="H8" s="3">
        <v>550053402.21968329</v>
      </c>
    </row>
    <row r="9" spans="1:8" x14ac:dyDescent="0.3">
      <c r="A9" s="2">
        <v>8</v>
      </c>
      <c r="B9" s="2" t="s">
        <v>8</v>
      </c>
      <c r="C9" s="2" t="s">
        <v>9</v>
      </c>
      <c r="D9" s="3">
        <v>1353499805.2481191</v>
      </c>
      <c r="E9" s="3">
        <v>5883659338.6448984</v>
      </c>
      <c r="F9" s="3">
        <v>340393551.95817733</v>
      </c>
      <c r="G9" s="4">
        <v>18808800.02781263</v>
      </c>
      <c r="H9" s="3">
        <v>577190332.83006978</v>
      </c>
    </row>
    <row r="10" spans="1:8" x14ac:dyDescent="0.3">
      <c r="A10" s="2">
        <v>9</v>
      </c>
      <c r="B10" s="2" t="s">
        <v>8</v>
      </c>
      <c r="C10" s="2" t="s">
        <v>9</v>
      </c>
      <c r="D10" s="3">
        <v>1596175697.362879</v>
      </c>
      <c r="E10" s="3">
        <v>6450024779.6849012</v>
      </c>
      <c r="F10" s="3">
        <v>415320953.7712785</v>
      </c>
      <c r="G10" s="4">
        <v>22888000.032771401</v>
      </c>
      <c r="H10" s="3">
        <v>615026677.15604556</v>
      </c>
    </row>
    <row r="11" spans="1:8" x14ac:dyDescent="0.3">
      <c r="A11" s="2">
        <v>10</v>
      </c>
      <c r="B11" s="2" t="s">
        <v>8</v>
      </c>
      <c r="C11" s="2" t="s">
        <v>9</v>
      </c>
      <c r="D11" s="3">
        <v>1612067282.063385</v>
      </c>
      <c r="E11" s="3">
        <v>6668037636.0592976</v>
      </c>
      <c r="F11" s="3">
        <v>424151111.71647489</v>
      </c>
      <c r="G11" s="4">
        <v>23388400.05089967</v>
      </c>
      <c r="H11" s="3">
        <v>653886208.32054794</v>
      </c>
    </row>
    <row r="12" spans="1:8" x14ac:dyDescent="0.3">
      <c r="A12" s="2">
        <v>1</v>
      </c>
      <c r="B12" s="2" t="s">
        <v>8</v>
      </c>
      <c r="C12" s="2" t="s">
        <v>10</v>
      </c>
      <c r="D12" s="3">
        <v>774923545.5083952</v>
      </c>
      <c r="E12" s="3">
        <v>3669420008.5071368</v>
      </c>
      <c r="F12" s="3">
        <v>103147708.79270039</v>
      </c>
      <c r="G12" s="4">
        <v>5569500.0102588385</v>
      </c>
      <c r="H12" s="3">
        <v>325396801.04297638</v>
      </c>
    </row>
    <row r="13" spans="1:8" x14ac:dyDescent="0.3">
      <c r="A13" s="2">
        <v>2</v>
      </c>
      <c r="B13" s="2" t="s">
        <v>8</v>
      </c>
      <c r="C13" s="2" t="s">
        <v>10</v>
      </c>
      <c r="D13" s="3">
        <v>972972175.89083886</v>
      </c>
      <c r="E13" s="3">
        <v>4514378112.7676048</v>
      </c>
      <c r="F13" s="3">
        <v>163816093.46792579</v>
      </c>
      <c r="G13" s="4">
        <v>9061700.0616422817</v>
      </c>
      <c r="H13" s="3">
        <v>411195166.15627211</v>
      </c>
    </row>
    <row r="14" spans="1:8" x14ac:dyDescent="0.3">
      <c r="A14" s="2">
        <v>3</v>
      </c>
      <c r="B14" s="2" t="s">
        <v>8</v>
      </c>
      <c r="C14" s="2" t="s">
        <v>10</v>
      </c>
      <c r="D14" s="3">
        <v>981418601.47931445</v>
      </c>
      <c r="E14" s="3">
        <v>4410522424.51231</v>
      </c>
      <c r="F14" s="3">
        <v>166430307.24190861</v>
      </c>
      <c r="G14" s="4">
        <v>9224600.0198450554</v>
      </c>
      <c r="H14" s="3">
        <v>391328448.37353402</v>
      </c>
    </row>
    <row r="15" spans="1:8" x14ac:dyDescent="0.3">
      <c r="A15" s="2">
        <v>4</v>
      </c>
      <c r="B15" s="2" t="s">
        <v>8</v>
      </c>
      <c r="C15" s="2" t="s">
        <v>10</v>
      </c>
      <c r="D15" s="3">
        <v>1108799112.6255691</v>
      </c>
      <c r="E15" s="3">
        <v>4727574256.1412754</v>
      </c>
      <c r="F15" s="3">
        <v>230481347.54355401</v>
      </c>
      <c r="G15" s="4">
        <v>12527600.073761901</v>
      </c>
      <c r="H15" s="3">
        <v>410674972.5019471</v>
      </c>
    </row>
    <row r="16" spans="1:8" x14ac:dyDescent="0.3">
      <c r="A16" s="2">
        <v>5</v>
      </c>
      <c r="B16" s="2" t="s">
        <v>8</v>
      </c>
      <c r="C16" s="2" t="s">
        <v>10</v>
      </c>
      <c r="D16" s="3">
        <v>1002329420.0718451</v>
      </c>
      <c r="E16" s="3">
        <v>4547455126.7785873</v>
      </c>
      <c r="F16" s="3">
        <v>222705283.6960381</v>
      </c>
      <c r="G16" s="4">
        <v>12227100.023278389</v>
      </c>
      <c r="H16" s="3">
        <v>398619092.26629221</v>
      </c>
    </row>
    <row r="17" spans="1:8" x14ac:dyDescent="0.3">
      <c r="A17" s="2">
        <v>6</v>
      </c>
      <c r="B17" s="2" t="s">
        <v>8</v>
      </c>
      <c r="C17" s="2" t="s">
        <v>10</v>
      </c>
      <c r="D17" s="3">
        <v>1072892046.6665649</v>
      </c>
      <c r="E17" s="3">
        <v>4578916322.0671263</v>
      </c>
      <c r="F17" s="3">
        <v>226274221.49879721</v>
      </c>
      <c r="G17" s="4">
        <v>12463200.011409709</v>
      </c>
      <c r="H17" s="3">
        <v>360872230.06573868</v>
      </c>
    </row>
    <row r="18" spans="1:8" x14ac:dyDescent="0.3">
      <c r="A18" s="2">
        <v>7</v>
      </c>
      <c r="B18" s="2" t="s">
        <v>8</v>
      </c>
      <c r="C18" s="2" t="s">
        <v>10</v>
      </c>
      <c r="D18" s="3">
        <v>1349782366.6407139</v>
      </c>
      <c r="E18" s="3">
        <v>5641428819.2587423</v>
      </c>
      <c r="F18" s="3">
        <v>342858988.1707958</v>
      </c>
      <c r="G18" s="4">
        <v>18735100.072880559</v>
      </c>
      <c r="H18" s="3">
        <v>472811245.48867112</v>
      </c>
    </row>
    <row r="19" spans="1:8" x14ac:dyDescent="0.3">
      <c r="A19" s="2">
        <v>8</v>
      </c>
      <c r="B19" s="2" t="s">
        <v>8</v>
      </c>
      <c r="C19" s="2" t="s">
        <v>10</v>
      </c>
      <c r="D19" s="3">
        <v>1289421186.81372</v>
      </c>
      <c r="E19" s="3">
        <v>5839831585.5603228</v>
      </c>
      <c r="F19" s="3">
        <v>341477447.10243171</v>
      </c>
      <c r="G19" s="4">
        <v>18852400.03193856</v>
      </c>
      <c r="H19" s="3">
        <v>505564305.9349522</v>
      </c>
    </row>
    <row r="20" spans="1:8" x14ac:dyDescent="0.3">
      <c r="A20" s="2">
        <v>9</v>
      </c>
      <c r="B20" s="2" t="s">
        <v>8</v>
      </c>
      <c r="C20" s="2" t="s">
        <v>10</v>
      </c>
      <c r="D20" s="3">
        <v>1515329129.237587</v>
      </c>
      <c r="E20" s="3">
        <v>6348290670.2664366</v>
      </c>
      <c r="F20" s="3">
        <v>417690324.10068971</v>
      </c>
      <c r="G20" s="4">
        <v>22984400.027390521</v>
      </c>
      <c r="H20" s="3">
        <v>534471515.52217692</v>
      </c>
    </row>
    <row r="21" spans="1:8" x14ac:dyDescent="0.3">
      <c r="A21" s="2">
        <v>10</v>
      </c>
      <c r="B21" s="2" t="s">
        <v>8</v>
      </c>
      <c r="C21" s="2" t="s">
        <v>10</v>
      </c>
      <c r="D21" s="3">
        <v>1530616479.9695809</v>
      </c>
      <c r="E21" s="3">
        <v>6601135046.4598026</v>
      </c>
      <c r="F21" s="3">
        <v>425199066.813025</v>
      </c>
      <c r="G21" s="4">
        <v>23443800.01638354</v>
      </c>
      <c r="H21" s="3">
        <v>577482695.21821296</v>
      </c>
    </row>
    <row r="22" spans="1:8" x14ac:dyDescent="0.3">
      <c r="A22" s="2">
        <v>1</v>
      </c>
      <c r="B22" s="2" t="s">
        <v>11</v>
      </c>
      <c r="C22" s="2" t="s">
        <v>9</v>
      </c>
      <c r="D22" s="3">
        <v>774706792.51770341</v>
      </c>
      <c r="E22" s="3">
        <v>3621081128.9037132</v>
      </c>
      <c r="F22" s="3">
        <v>31691372.93394332</v>
      </c>
      <c r="G22" s="4">
        <v>1028800.0287100259</v>
      </c>
      <c r="H22" s="3">
        <v>379394122.92692041</v>
      </c>
    </row>
    <row r="23" spans="1:8" x14ac:dyDescent="0.3">
      <c r="A23" s="2">
        <v>2</v>
      </c>
      <c r="B23" s="2" t="s">
        <v>11</v>
      </c>
      <c r="C23" s="2" t="s">
        <v>9</v>
      </c>
      <c r="D23" s="3">
        <v>932934343.67598295</v>
      </c>
      <c r="E23" s="3">
        <v>4367144653.9231901</v>
      </c>
      <c r="F23" s="3">
        <v>61980321.023693793</v>
      </c>
      <c r="G23" s="4">
        <v>1997599.9999999991</v>
      </c>
      <c r="H23" s="3">
        <v>432952091.99869311</v>
      </c>
    </row>
    <row r="24" spans="1:8" x14ac:dyDescent="0.3">
      <c r="A24" s="2">
        <v>3</v>
      </c>
      <c r="B24" s="2" t="s">
        <v>11</v>
      </c>
      <c r="C24" s="2" t="s">
        <v>9</v>
      </c>
      <c r="D24" s="3">
        <v>930287608.63071573</v>
      </c>
      <c r="E24" s="3">
        <v>4290311950.5818362</v>
      </c>
      <c r="F24" s="3">
        <v>72574258.989439324</v>
      </c>
      <c r="G24" s="4">
        <v>2305199.994000006</v>
      </c>
      <c r="H24" s="3">
        <v>440071257.48509079</v>
      </c>
    </row>
    <row r="25" spans="1:8" x14ac:dyDescent="0.3">
      <c r="A25" s="2">
        <v>4</v>
      </c>
      <c r="B25" s="2" t="s">
        <v>11</v>
      </c>
      <c r="C25" s="2" t="s">
        <v>9</v>
      </c>
      <c r="D25" s="3">
        <v>1000344727.652642</v>
      </c>
      <c r="E25" s="3">
        <v>4544221554.4206772</v>
      </c>
      <c r="F25" s="3">
        <v>108237200.4470976</v>
      </c>
      <c r="G25" s="4">
        <v>3374799.9976793719</v>
      </c>
      <c r="H25" s="3">
        <v>455210586.57039779</v>
      </c>
    </row>
    <row r="26" spans="1:8" x14ac:dyDescent="0.3">
      <c r="A26" s="2">
        <v>5</v>
      </c>
      <c r="B26" s="2" t="s">
        <v>11</v>
      </c>
      <c r="C26" s="2" t="s">
        <v>9</v>
      </c>
      <c r="D26" s="3">
        <v>913064338.01024175</v>
      </c>
      <c r="E26" s="3">
        <v>4364098155.4446115</v>
      </c>
      <c r="F26" s="3">
        <v>112093076.58837201</v>
      </c>
      <c r="G26" s="4">
        <v>3503200.035219681</v>
      </c>
      <c r="H26" s="3">
        <v>448472415.72822392</v>
      </c>
    </row>
    <row r="27" spans="1:8" x14ac:dyDescent="0.3">
      <c r="A27" s="2">
        <v>6</v>
      </c>
      <c r="B27" s="2" t="s">
        <v>11</v>
      </c>
      <c r="C27" s="2" t="s">
        <v>9</v>
      </c>
      <c r="D27" s="3">
        <v>993004057.837075</v>
      </c>
      <c r="E27" s="3">
        <v>4367890774.0435753</v>
      </c>
      <c r="F27" s="3">
        <v>81203515.535937101</v>
      </c>
      <c r="G27" s="4">
        <v>2610000.037241193</v>
      </c>
      <c r="H27" s="3">
        <v>414630174.10150069</v>
      </c>
    </row>
    <row r="28" spans="1:8" x14ac:dyDescent="0.3">
      <c r="A28" s="2">
        <v>7</v>
      </c>
      <c r="B28" s="2" t="s">
        <v>11</v>
      </c>
      <c r="C28" s="2" t="s">
        <v>9</v>
      </c>
      <c r="D28" s="3">
        <v>1214589980.7229619</v>
      </c>
      <c r="E28" s="3">
        <v>5340319220.8587189</v>
      </c>
      <c r="F28" s="3">
        <v>100288928.5161258</v>
      </c>
      <c r="G28" s="4">
        <v>3257600.0516496622</v>
      </c>
      <c r="H28" s="3">
        <v>532535879.62433791</v>
      </c>
    </row>
    <row r="29" spans="1:8" x14ac:dyDescent="0.3">
      <c r="A29" s="2">
        <v>8</v>
      </c>
      <c r="B29" s="2" t="s">
        <v>11</v>
      </c>
      <c r="C29" s="2" t="s">
        <v>9</v>
      </c>
      <c r="D29" s="3">
        <v>1147027574.21766</v>
      </c>
      <c r="E29" s="3">
        <v>5531684004.4506588</v>
      </c>
      <c r="F29" s="3">
        <v>143351161.12999341</v>
      </c>
      <c r="G29" s="4">
        <v>4548800.1212384542</v>
      </c>
      <c r="H29" s="3">
        <v>576863970.28067911</v>
      </c>
    </row>
    <row r="30" spans="1:8" x14ac:dyDescent="0.3">
      <c r="A30" s="2">
        <v>9</v>
      </c>
      <c r="B30" s="2" t="s">
        <v>11</v>
      </c>
      <c r="C30" s="2" t="s">
        <v>9</v>
      </c>
      <c r="D30" s="3">
        <v>1333301840.4368861</v>
      </c>
      <c r="E30" s="3">
        <v>5957012930.3725538</v>
      </c>
      <c r="F30" s="3">
        <v>165340578.6005249</v>
      </c>
      <c r="G30" s="4">
        <v>5298000.034296562</v>
      </c>
      <c r="H30" s="3">
        <v>571837053.82069683</v>
      </c>
    </row>
    <row r="31" spans="1:8" x14ac:dyDescent="0.3">
      <c r="A31" s="2">
        <v>10</v>
      </c>
      <c r="B31" s="2" t="s">
        <v>11</v>
      </c>
      <c r="C31" s="2" t="s">
        <v>9</v>
      </c>
      <c r="D31" s="3">
        <v>1333105474.6838951</v>
      </c>
      <c r="E31" s="3">
        <v>6236741791.4651957</v>
      </c>
      <c r="F31" s="3">
        <v>197516715.794716</v>
      </c>
      <c r="G31" s="4">
        <v>6318400.0733356224</v>
      </c>
      <c r="H31" s="3">
        <v>630536457.94445324</v>
      </c>
    </row>
    <row r="32" spans="1:8" x14ac:dyDescent="0.3">
      <c r="A32" s="2">
        <v>1</v>
      </c>
      <c r="B32" s="2" t="s">
        <v>11</v>
      </c>
      <c r="C32" s="2" t="s">
        <v>10</v>
      </c>
      <c r="D32" s="3">
        <v>712909237.75379932</v>
      </c>
      <c r="E32" s="3">
        <v>3588890265.5377541</v>
      </c>
      <c r="F32" s="3">
        <v>80913467.560874432</v>
      </c>
      <c r="G32" s="4">
        <v>2430800.0022999551</v>
      </c>
      <c r="H32" s="3">
        <v>325350317.55359638</v>
      </c>
    </row>
    <row r="33" spans="1:8" x14ac:dyDescent="0.3">
      <c r="A33" s="2">
        <v>2</v>
      </c>
      <c r="B33" s="2" t="s">
        <v>11</v>
      </c>
      <c r="C33" s="2" t="s">
        <v>10</v>
      </c>
      <c r="D33" s="3">
        <v>859825662.27439177</v>
      </c>
      <c r="E33" s="3">
        <v>4356624607.2756386</v>
      </c>
      <c r="F33" s="3">
        <v>125119011.1586168</v>
      </c>
      <c r="G33" s="4">
        <v>3810700.0806128862</v>
      </c>
      <c r="H33" s="3">
        <v>394597588.07765901</v>
      </c>
    </row>
    <row r="34" spans="1:8" x14ac:dyDescent="0.3">
      <c r="A34" s="2">
        <v>3</v>
      </c>
      <c r="B34" s="2" t="s">
        <v>11</v>
      </c>
      <c r="C34" s="2" t="s">
        <v>10</v>
      </c>
      <c r="D34" s="3">
        <v>859008074.72660971</v>
      </c>
      <c r="E34" s="3">
        <v>4296044378.4685841</v>
      </c>
      <c r="F34" s="3">
        <v>164673634.5328241</v>
      </c>
      <c r="G34" s="4">
        <v>4934499.8996250154</v>
      </c>
      <c r="H34" s="3">
        <v>376802998.17322773</v>
      </c>
    </row>
    <row r="35" spans="1:8" x14ac:dyDescent="0.3">
      <c r="A35" s="2">
        <v>4</v>
      </c>
      <c r="B35" s="2" t="s">
        <v>11</v>
      </c>
      <c r="C35" s="2" t="s">
        <v>10</v>
      </c>
      <c r="D35" s="3">
        <v>950904086.23602509</v>
      </c>
      <c r="E35" s="3">
        <v>4509946071.0920582</v>
      </c>
      <c r="F35" s="3">
        <v>170855951.0794113</v>
      </c>
      <c r="G35" s="4">
        <v>5116600.0501353554</v>
      </c>
      <c r="H35" s="3">
        <v>389827176.84872109</v>
      </c>
    </row>
    <row r="36" spans="1:8" x14ac:dyDescent="0.3">
      <c r="A36" s="2">
        <v>5</v>
      </c>
      <c r="B36" s="2" t="s">
        <v>11</v>
      </c>
      <c r="C36" s="2" t="s">
        <v>10</v>
      </c>
      <c r="D36" s="3">
        <v>841716048.35468185</v>
      </c>
      <c r="E36" s="3">
        <v>4347180158.018671</v>
      </c>
      <c r="F36" s="3">
        <v>172109170.07395151</v>
      </c>
      <c r="G36" s="4">
        <v>5228000.0820471821</v>
      </c>
      <c r="H36" s="3">
        <v>383965834.73264128</v>
      </c>
    </row>
    <row r="37" spans="1:8" x14ac:dyDescent="0.3">
      <c r="A37" s="2">
        <v>6</v>
      </c>
      <c r="B37" s="2" t="s">
        <v>11</v>
      </c>
      <c r="C37" s="2" t="s">
        <v>10</v>
      </c>
      <c r="D37" s="3">
        <v>907058441.5005542</v>
      </c>
      <c r="E37" s="3">
        <v>4376142441.6423883</v>
      </c>
      <c r="F37" s="3">
        <v>204686031.15887529</v>
      </c>
      <c r="G37" s="4">
        <v>6138500.0020790994</v>
      </c>
      <c r="H37" s="3">
        <v>349982056.21597463</v>
      </c>
    </row>
    <row r="38" spans="1:8" x14ac:dyDescent="0.3">
      <c r="A38" s="2">
        <v>7</v>
      </c>
      <c r="B38" s="2" t="s">
        <v>11</v>
      </c>
      <c r="C38" s="2" t="s">
        <v>10</v>
      </c>
      <c r="D38" s="3">
        <v>1136786501.958631</v>
      </c>
      <c r="E38" s="3">
        <v>5245437907.1266336</v>
      </c>
      <c r="F38" s="3">
        <v>138165077.43385321</v>
      </c>
      <c r="G38" s="4">
        <v>4368499.9825446829</v>
      </c>
      <c r="H38" s="3">
        <v>443226058.55448258</v>
      </c>
    </row>
    <row r="39" spans="1:8" x14ac:dyDescent="0.3">
      <c r="A39" s="2">
        <v>8</v>
      </c>
      <c r="B39" s="2" t="s">
        <v>11</v>
      </c>
      <c r="C39" s="2" t="s">
        <v>10</v>
      </c>
      <c r="D39" s="3">
        <v>1042447782.804522</v>
      </c>
      <c r="E39" s="3">
        <v>5522888067.4291077</v>
      </c>
      <c r="F39" s="3">
        <v>234486232.10388011</v>
      </c>
      <c r="G39" s="4">
        <v>7186300.0880659306</v>
      </c>
      <c r="H39" s="3">
        <v>481605574.0944097</v>
      </c>
    </row>
    <row r="40" spans="1:8" x14ac:dyDescent="0.3">
      <c r="A40" s="2">
        <v>9</v>
      </c>
      <c r="B40" s="2" t="s">
        <v>11</v>
      </c>
      <c r="C40" s="2" t="s">
        <v>10</v>
      </c>
      <c r="D40" s="3">
        <v>1224397771.6248441</v>
      </c>
      <c r="E40" s="3">
        <v>5987401384.2692413</v>
      </c>
      <c r="F40" s="3">
        <v>341053332.37537318</v>
      </c>
      <c r="G40" s="4">
        <v>10337600.151106009</v>
      </c>
      <c r="H40" s="3">
        <v>489142636.01063049</v>
      </c>
    </row>
    <row r="41" spans="1:8" x14ac:dyDescent="0.3">
      <c r="A41" s="2">
        <v>10</v>
      </c>
      <c r="B41" s="2" t="s">
        <v>11</v>
      </c>
      <c r="C41" s="2" t="s">
        <v>10</v>
      </c>
      <c r="D41" s="3">
        <v>1227949719.7315929</v>
      </c>
      <c r="E41" s="3">
        <v>6216257689.5843792</v>
      </c>
      <c r="F41" s="3">
        <v>299172214.80446792</v>
      </c>
      <c r="G41" s="4">
        <v>9200400.0391841233</v>
      </c>
      <c r="H41" s="3">
        <v>547557211.21821678</v>
      </c>
    </row>
    <row r="42" spans="1:8" x14ac:dyDescent="0.3">
      <c r="A42" s="2">
        <v>1</v>
      </c>
      <c r="B42" s="2" t="s">
        <v>12</v>
      </c>
      <c r="C42" s="2" t="s">
        <v>9</v>
      </c>
      <c r="D42" s="3">
        <v>779257985.5949403</v>
      </c>
      <c r="E42" s="3">
        <v>3587248010.1540508</v>
      </c>
      <c r="F42" s="3">
        <v>1817785.80706298</v>
      </c>
      <c r="G42" s="4">
        <v>31999.994853162909</v>
      </c>
      <c r="H42" s="3">
        <v>371506426.64406371</v>
      </c>
    </row>
    <row r="43" spans="1:8" x14ac:dyDescent="0.3">
      <c r="A43" s="2">
        <v>2</v>
      </c>
      <c r="B43" s="2" t="s">
        <v>12</v>
      </c>
      <c r="C43" s="2" t="s">
        <v>9</v>
      </c>
      <c r="D43" s="3">
        <v>921971397.55101502</v>
      </c>
      <c r="E43" s="3">
        <v>4292031120.080339</v>
      </c>
      <c r="F43" s="3">
        <v>3597614.9737865012</v>
      </c>
      <c r="G43" s="4">
        <v>61999.999600000017</v>
      </c>
      <c r="H43" s="3">
        <v>425225451.28816408</v>
      </c>
    </row>
    <row r="44" spans="1:8" x14ac:dyDescent="0.3">
      <c r="A44" s="2">
        <v>3</v>
      </c>
      <c r="B44" s="2" t="s">
        <v>12</v>
      </c>
      <c r="C44" s="2" t="s">
        <v>9</v>
      </c>
      <c r="D44" s="3">
        <v>928701368.07680082</v>
      </c>
      <c r="E44" s="3">
        <v>4241073627.9976821</v>
      </c>
      <c r="F44" s="3">
        <v>2857457.1398269851</v>
      </c>
      <c r="G44" s="4">
        <v>49199.999999999724</v>
      </c>
      <c r="H44" s="3">
        <v>439397108.49622178</v>
      </c>
    </row>
    <row r="45" spans="1:8" x14ac:dyDescent="0.3">
      <c r="A45" s="2">
        <v>4</v>
      </c>
      <c r="B45" s="2" t="s">
        <v>12</v>
      </c>
      <c r="C45" s="2" t="s">
        <v>9</v>
      </c>
      <c r="D45" s="3">
        <v>983712070.58169115</v>
      </c>
      <c r="E45" s="3">
        <v>4436713176.6882563</v>
      </c>
      <c r="F45" s="3">
        <v>5492528.920088876</v>
      </c>
      <c r="G45" s="4">
        <v>91999.98067268818</v>
      </c>
      <c r="H45" s="3">
        <v>440957957.01793462</v>
      </c>
    </row>
    <row r="46" spans="1:8" x14ac:dyDescent="0.3">
      <c r="A46" s="2">
        <v>5</v>
      </c>
      <c r="B46" s="2" t="s">
        <v>12</v>
      </c>
      <c r="C46" s="2" t="s">
        <v>9</v>
      </c>
      <c r="D46" s="3">
        <v>898895275.03762364</v>
      </c>
      <c r="E46" s="3">
        <v>4266422435.2001019</v>
      </c>
      <c r="F46" s="3">
        <v>4960750.4863957446</v>
      </c>
      <c r="G46" s="4">
        <v>84799.98800466457</v>
      </c>
      <c r="H46" s="3">
        <v>448346854.51514179</v>
      </c>
    </row>
    <row r="47" spans="1:8" x14ac:dyDescent="0.3">
      <c r="A47" s="2">
        <v>6</v>
      </c>
      <c r="B47" s="2" t="s">
        <v>12</v>
      </c>
      <c r="C47" s="2" t="s">
        <v>9</v>
      </c>
      <c r="D47" s="3">
        <v>984828704.45814669</v>
      </c>
      <c r="E47" s="3">
        <v>4314054030.2644711</v>
      </c>
      <c r="F47" s="3">
        <v>4957260.5398659874</v>
      </c>
      <c r="G47" s="4">
        <v>84399.996736909117</v>
      </c>
      <c r="H47" s="3">
        <v>418998238.30112487</v>
      </c>
    </row>
    <row r="48" spans="1:8" x14ac:dyDescent="0.3">
      <c r="A48" s="2">
        <v>7</v>
      </c>
      <c r="B48" s="2" t="s">
        <v>12</v>
      </c>
      <c r="C48" s="2" t="s">
        <v>9</v>
      </c>
      <c r="D48" s="3">
        <v>1200998264.0531149</v>
      </c>
      <c r="E48" s="3">
        <v>5244983044.7211447</v>
      </c>
      <c r="F48" s="3">
        <v>6170274.4591323594</v>
      </c>
      <c r="G48" s="4">
        <v>107199.9932888879</v>
      </c>
      <c r="H48" s="3">
        <v>528729892.35424238</v>
      </c>
    </row>
    <row r="49" spans="1:8" x14ac:dyDescent="0.3">
      <c r="A49" s="2">
        <v>8</v>
      </c>
      <c r="B49" s="2" t="s">
        <v>12</v>
      </c>
      <c r="C49" s="2" t="s">
        <v>9</v>
      </c>
      <c r="D49" s="3">
        <v>1115922670.505311</v>
      </c>
      <c r="E49" s="3">
        <v>5405009182.2611017</v>
      </c>
      <c r="F49" s="3">
        <v>7260075.680065481</v>
      </c>
      <c r="G49" s="4">
        <v>124399.9922250477</v>
      </c>
      <c r="H49" s="3">
        <v>566284165.7546078</v>
      </c>
    </row>
    <row r="50" spans="1:8" x14ac:dyDescent="0.3">
      <c r="A50" s="2">
        <v>9</v>
      </c>
      <c r="B50" s="2" t="s">
        <v>12</v>
      </c>
      <c r="C50" s="2" t="s">
        <v>9</v>
      </c>
      <c r="D50" s="3">
        <v>1314087259.3203089</v>
      </c>
      <c r="E50" s="3">
        <v>5800657784.8135567</v>
      </c>
      <c r="F50" s="3">
        <v>7923035.5463496158</v>
      </c>
      <c r="G50" s="4">
        <v>136399.98765366009</v>
      </c>
      <c r="H50" s="3">
        <v>568133894.16062248</v>
      </c>
    </row>
    <row r="51" spans="1:8" x14ac:dyDescent="0.3">
      <c r="A51" s="2">
        <v>10</v>
      </c>
      <c r="B51" s="2" t="s">
        <v>12</v>
      </c>
      <c r="C51" s="2" t="s">
        <v>9</v>
      </c>
      <c r="D51" s="3">
        <v>1317727890.2167661</v>
      </c>
      <c r="E51" s="3">
        <v>6064658589.3854485</v>
      </c>
      <c r="F51" s="3">
        <v>7811100.2939671883</v>
      </c>
      <c r="G51" s="4">
        <v>131999.98252544331</v>
      </c>
      <c r="H51" s="3">
        <v>631337987.16525614</v>
      </c>
    </row>
    <row r="52" spans="1:8" x14ac:dyDescent="0.3">
      <c r="A52" s="2">
        <v>1</v>
      </c>
      <c r="B52" s="2" t="s">
        <v>12</v>
      </c>
      <c r="C52" s="2" t="s">
        <v>10</v>
      </c>
      <c r="D52" s="3">
        <v>712230140.58234</v>
      </c>
      <c r="E52" s="3">
        <v>3478518876.029274</v>
      </c>
      <c r="F52" s="3">
        <v>6507334.2791245244</v>
      </c>
      <c r="G52" s="4">
        <v>111999.9922304799</v>
      </c>
      <c r="H52" s="3">
        <v>322316327.97656709</v>
      </c>
    </row>
    <row r="53" spans="1:8" x14ac:dyDescent="0.3">
      <c r="A53" s="2">
        <v>2</v>
      </c>
      <c r="B53" s="2" t="s">
        <v>12</v>
      </c>
      <c r="C53" s="2" t="s">
        <v>10</v>
      </c>
      <c r="D53" s="3">
        <v>841074928.47500467</v>
      </c>
      <c r="E53" s="3">
        <v>4177316576.607563</v>
      </c>
      <c r="F53" s="3">
        <v>6474638.4012299767</v>
      </c>
      <c r="G53" s="4">
        <v>113199.99999999961</v>
      </c>
      <c r="H53" s="3">
        <v>379948778.56842959</v>
      </c>
    </row>
    <row r="54" spans="1:8" x14ac:dyDescent="0.3">
      <c r="A54" s="2">
        <v>3</v>
      </c>
      <c r="B54" s="2" t="s">
        <v>12</v>
      </c>
      <c r="C54" s="2" t="s">
        <v>10</v>
      </c>
      <c r="D54" s="3">
        <v>830307195.33684468</v>
      </c>
      <c r="E54" s="3">
        <v>4068882077.6290269</v>
      </c>
      <c r="F54" s="3">
        <v>7328310.1697676266</v>
      </c>
      <c r="G54" s="4">
        <v>128999.9940210793</v>
      </c>
      <c r="H54" s="3">
        <v>362985165.49127293</v>
      </c>
    </row>
    <row r="55" spans="1:8" x14ac:dyDescent="0.3">
      <c r="A55" s="2">
        <v>4</v>
      </c>
      <c r="B55" s="2" t="s">
        <v>12</v>
      </c>
      <c r="C55" s="2" t="s">
        <v>10</v>
      </c>
      <c r="D55" s="3">
        <v>921015103.86236656</v>
      </c>
      <c r="E55" s="3">
        <v>4302056986.5219765</v>
      </c>
      <c r="F55" s="3">
        <v>12126108.673693979</v>
      </c>
      <c r="G55" s="4">
        <v>207999.99999999959</v>
      </c>
      <c r="H55" s="3">
        <v>368960697.99946451</v>
      </c>
    </row>
    <row r="56" spans="1:8" x14ac:dyDescent="0.3">
      <c r="A56" s="2">
        <v>5</v>
      </c>
      <c r="B56" s="2" t="s">
        <v>12</v>
      </c>
      <c r="C56" s="2" t="s">
        <v>10</v>
      </c>
      <c r="D56" s="3">
        <v>809802489.17345345</v>
      </c>
      <c r="E56" s="3">
        <v>4126919477.000761</v>
      </c>
      <c r="F56" s="3">
        <v>11004079.54641212</v>
      </c>
      <c r="G56" s="4">
        <v>190100.00511591989</v>
      </c>
      <c r="H56" s="3">
        <v>362142986.9790948</v>
      </c>
    </row>
    <row r="57" spans="1:8" x14ac:dyDescent="0.3">
      <c r="A57" s="2">
        <v>6</v>
      </c>
      <c r="B57" s="2" t="s">
        <v>12</v>
      </c>
      <c r="C57" s="2" t="s">
        <v>10</v>
      </c>
      <c r="D57" s="3">
        <v>866581378.96038365</v>
      </c>
      <c r="E57" s="3">
        <v>4101837789.5041132</v>
      </c>
      <c r="F57" s="3">
        <v>12886152.545286501</v>
      </c>
      <c r="G57" s="4">
        <v>223699.9948669805</v>
      </c>
      <c r="H57" s="3">
        <v>329984828.83012003</v>
      </c>
    </row>
    <row r="58" spans="1:8" x14ac:dyDescent="0.3">
      <c r="A58" s="2">
        <v>7</v>
      </c>
      <c r="B58" s="2" t="s">
        <v>12</v>
      </c>
      <c r="C58" s="2" t="s">
        <v>10</v>
      </c>
      <c r="D58" s="3">
        <v>1102806121.7184131</v>
      </c>
      <c r="E58" s="3">
        <v>5075845489.8441095</v>
      </c>
      <c r="F58" s="3">
        <v>12763884.14104663</v>
      </c>
      <c r="G58" s="4">
        <v>219599.99101086799</v>
      </c>
      <c r="H58" s="3">
        <v>423812509.10611391</v>
      </c>
    </row>
    <row r="59" spans="1:8" x14ac:dyDescent="0.3">
      <c r="A59" s="2">
        <v>8</v>
      </c>
      <c r="B59" s="2" t="s">
        <v>12</v>
      </c>
      <c r="C59" s="2" t="s">
        <v>10</v>
      </c>
      <c r="D59" s="3">
        <v>1001039861.049298</v>
      </c>
      <c r="E59" s="3">
        <v>5210301409.7940712</v>
      </c>
      <c r="F59" s="3">
        <v>16120764.55911373</v>
      </c>
      <c r="G59" s="4">
        <v>276399.99706512148</v>
      </c>
      <c r="H59" s="3">
        <v>461285225.66531992</v>
      </c>
    </row>
    <row r="60" spans="1:8" x14ac:dyDescent="0.3">
      <c r="A60" s="2">
        <v>9</v>
      </c>
      <c r="B60" s="2" t="s">
        <v>12</v>
      </c>
      <c r="C60" s="2" t="s">
        <v>10</v>
      </c>
      <c r="D60" s="3">
        <v>1146801286.6374991</v>
      </c>
      <c r="E60" s="3">
        <v>5466342904.8103666</v>
      </c>
      <c r="F60" s="3">
        <v>16013909.219122831</v>
      </c>
      <c r="G60" s="4">
        <v>275499.98210013681</v>
      </c>
      <c r="H60" s="3">
        <v>438448069.16727901</v>
      </c>
    </row>
    <row r="61" spans="1:8" x14ac:dyDescent="0.3">
      <c r="A61" s="2">
        <v>10</v>
      </c>
      <c r="B61" s="2" t="s">
        <v>12</v>
      </c>
      <c r="C61" s="2" t="s">
        <v>10</v>
      </c>
      <c r="D61" s="3">
        <v>1176545910.2767551</v>
      </c>
      <c r="E61" s="3">
        <v>5829777478.4090796</v>
      </c>
      <c r="F61" s="3">
        <v>14273973.77404305</v>
      </c>
      <c r="G61" s="4">
        <v>248299.9994451972</v>
      </c>
      <c r="H61" s="3">
        <v>510299412.692586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showGridLines="0" tabSelected="1" workbookViewId="0">
      <selection activeCell="B13" sqref="B13"/>
    </sheetView>
  </sheetViews>
  <sheetFormatPr defaultRowHeight="13.5" x14ac:dyDescent="0.3"/>
  <cols>
    <col min="1" max="1" width="20.6640625" customWidth="1"/>
    <col min="2" max="2" width="17" customWidth="1"/>
    <col min="3" max="3" width="26" customWidth="1"/>
    <col min="4" max="4" width="27" customWidth="1"/>
    <col min="5" max="5" width="40.265625" customWidth="1"/>
    <col min="6" max="6" width="38" customWidth="1"/>
    <col min="7" max="7" width="28" customWidth="1"/>
  </cols>
  <sheetData>
    <row r="1" spans="1:7" ht="32" customHeight="1" x14ac:dyDescent="0.3">
      <c r="A1" s="1" t="s">
        <v>1</v>
      </c>
      <c r="B1" s="1" t="s">
        <v>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3">
      <c r="A2" s="2" t="s">
        <v>8</v>
      </c>
      <c r="B2" s="2" t="s">
        <v>10</v>
      </c>
      <c r="C2" s="3">
        <f>IFERROR(SUMIFS(instance_results!$D$2:$D$61,instance_results!$B$2:$B$61,A2,instance_results!$C$2:$C$61,B2)/COUNTIFS(instance_results!$B$2:$B$61,A2,instance_results!$C$2:$C$61,B2),0)</f>
        <v>1159848406.490413</v>
      </c>
      <c r="D2" s="3">
        <f>IFERROR(SUMIFS(instance_results!$E$2:$E$61,instance_results!$B$2:$B$61,A2,instance_results!$C$2:$C$61,B2)/COUNTIFS(instance_results!$B$2:$B$61,A2,instance_results!$C$2:$C$61,B2),0)</f>
        <v>5087895237.2319345</v>
      </c>
      <c r="E2" s="3">
        <f>IFERROR(SUMIFS(instance_results!$F$2:$F$61,instance_results!$B$2:$B$61,A2,instance_results!$C$2:$C$61,B2)/COUNTIFS(instance_results!$B$2:$B$61,A2,instance_results!$C$2:$C$61,B2),0)</f>
        <v>264008078.84278664</v>
      </c>
      <c r="F2" s="4">
        <f>IFERROR(SUMIFS(instance_results!$G$2:$G$61,instance_results!$B$2:$B$61,A2,instance_results!$C$2:$C$61,B2)/COUNTIFS(instance_results!$B$2:$B$61,A2,instance_results!$C$2:$C$61,B2),0)</f>
        <v>14508940.034878936</v>
      </c>
      <c r="G2" s="3">
        <f>IFERROR(SUMIFS(instance_results!$H$2:$H$61,instance_results!$B$2:$B$61,A2,instance_results!$C$2:$C$61,B2)/COUNTIFS(instance_results!$B$2:$B$61,A2,instance_results!$C$2:$C$61,B2),0)</f>
        <v>438841647.2570774</v>
      </c>
    </row>
    <row r="3" spans="1:7" x14ac:dyDescent="0.3">
      <c r="A3" s="2" t="s">
        <v>8</v>
      </c>
      <c r="B3" s="2" t="s">
        <v>9</v>
      </c>
      <c r="C3" s="3">
        <f>IFERROR(SUMIFS(instance_results!$D$2:$D$61,instance_results!$B$2:$B$61,A3,instance_results!$C$2:$C$61,B3)/COUNTIFS(instance_results!$B$2:$B$61,A3,instance_results!$C$2:$C$61,B3),0)</f>
        <v>1219727344.7868314</v>
      </c>
      <c r="D3" s="3">
        <f>IFERROR(SUMIFS(instance_results!$E$2:$E$61,instance_results!$B$2:$B$61,A3,instance_results!$C$2:$C$61,B3)/COUNTIFS(instance_results!$B$2:$B$61,A3,instance_results!$C$2:$C$61,B3),0)</f>
        <v>5153246355.8461523</v>
      </c>
      <c r="E3" s="3">
        <f>IFERROR(SUMIFS(instance_results!$F$2:$F$61,instance_results!$B$2:$B$61,A3,instance_results!$C$2:$C$61,B3)/COUNTIFS(instance_results!$B$2:$B$61,A3,instance_results!$C$2:$C$61,B3),0)</f>
        <v>263277440.13327304</v>
      </c>
      <c r="F3" s="4">
        <f>IFERROR(SUMIFS(instance_results!$G$2:$G$61,instance_results!$B$2:$B$61,A3,instance_results!$C$2:$C$61,B3)/COUNTIFS(instance_results!$B$2:$B$61,A3,instance_results!$C$2:$C$61,B3),0)</f>
        <v>14477240.026374936</v>
      </c>
      <c r="G3" s="3">
        <f>IFERROR(SUMIFS(instance_results!$H$2:$H$61,instance_results!$B$2:$B$61,A3,instance_results!$C$2:$C$61,B3)/COUNTIFS(instance_results!$B$2:$B$61,A3,instance_results!$C$2:$C$61,B3),0)</f>
        <v>500667843.70946944</v>
      </c>
    </row>
    <row r="4" spans="1:7" x14ac:dyDescent="0.3">
      <c r="A4" s="2" t="s">
        <v>11</v>
      </c>
      <c r="B4" s="2" t="s">
        <v>10</v>
      </c>
      <c r="C4" s="3">
        <f>IFERROR(SUMIFS(instance_results!$D$2:$D$61,instance_results!$B$2:$B$61,A4,instance_results!$C$2:$C$61,B4)/COUNTIFS(instance_results!$B$2:$B$61,A4,instance_results!$C$2:$C$61,B4),0)</f>
        <v>976300332.69656503</v>
      </c>
      <c r="D4" s="3">
        <f>IFERROR(SUMIFS(instance_results!$E$2:$E$61,instance_results!$B$2:$B$61,A4,instance_results!$C$2:$C$61,B4)/COUNTIFS(instance_results!$B$2:$B$61,A4,instance_results!$C$2:$C$61,B4),0)</f>
        <v>4844681297.044446</v>
      </c>
      <c r="E4" s="3">
        <f>IFERROR(SUMIFS(instance_results!$F$2:$F$61,instance_results!$B$2:$B$61,A4,instance_results!$C$2:$C$61,B4)/COUNTIFS(instance_results!$B$2:$B$61,A4,instance_results!$C$2:$C$61,B4),0)</f>
        <v>193123412.22821277</v>
      </c>
      <c r="F4" s="4">
        <f>IFERROR(SUMIFS(instance_results!$G$2:$G$61,instance_results!$B$2:$B$61,A4,instance_results!$C$2:$C$61,B4)/COUNTIFS(instance_results!$B$2:$B$61,A4,instance_results!$C$2:$C$61,B4),0)</f>
        <v>5875190.0377700236</v>
      </c>
      <c r="G4" s="3">
        <f>IFERROR(SUMIFS(instance_results!$H$2:$H$61,instance_results!$B$2:$B$61,A4,instance_results!$C$2:$C$61,B4)/COUNTIFS(instance_results!$B$2:$B$61,A4,instance_results!$C$2:$C$61,B4),0)</f>
        <v>418205745.14795601</v>
      </c>
    </row>
    <row r="5" spans="1:7" x14ac:dyDescent="0.3">
      <c r="A5" s="2" t="s">
        <v>11</v>
      </c>
      <c r="B5" s="2" t="s">
        <v>9</v>
      </c>
      <c r="C5" s="3">
        <f>IFERROR(SUMIFS(instance_results!$D$2:$D$61,instance_results!$B$2:$B$61,A5,instance_results!$C$2:$C$61,B5)/COUNTIFS(instance_results!$B$2:$B$61,A5,instance_results!$C$2:$C$61,B5),0)</f>
        <v>1057236673.8385766</v>
      </c>
      <c r="D5" s="3">
        <f>IFERROR(SUMIFS(instance_results!$E$2:$E$61,instance_results!$B$2:$B$61,A5,instance_results!$C$2:$C$61,B5)/COUNTIFS(instance_results!$B$2:$B$61,A5,instance_results!$C$2:$C$61,B5),0)</f>
        <v>4862050616.4464731</v>
      </c>
      <c r="E5" s="3">
        <f>IFERROR(SUMIFS(instance_results!$F$2:$F$61,instance_results!$B$2:$B$61,A5,instance_results!$C$2:$C$61,B5)/COUNTIFS(instance_results!$B$2:$B$61,A5,instance_results!$C$2:$C$61,B5),0)</f>
        <v>107427712.95598432</v>
      </c>
      <c r="F5" s="4">
        <f>IFERROR(SUMIFS(instance_results!$G$2:$G$61,instance_results!$B$2:$B$61,A5,instance_results!$C$2:$C$61,B5)/COUNTIFS(instance_results!$B$2:$B$61,A5,instance_results!$C$2:$C$61,B5),0)</f>
        <v>3424240.0373370582</v>
      </c>
      <c r="G5" s="3">
        <f>IFERROR(SUMIFS(instance_results!$H$2:$H$61,instance_results!$B$2:$B$61,A5,instance_results!$C$2:$C$61,B5)/COUNTIFS(instance_results!$B$2:$B$61,A5,instance_results!$C$2:$C$61,B5),0)</f>
        <v>488250401.04809934</v>
      </c>
    </row>
    <row r="6" spans="1:7" x14ac:dyDescent="0.3">
      <c r="A6" s="2" t="s">
        <v>12</v>
      </c>
      <c r="B6" s="2" t="s">
        <v>10</v>
      </c>
      <c r="C6" s="3">
        <f>IFERROR(SUMIFS(instance_results!$D$2:$D$61,instance_results!$B$2:$B$61,A6,instance_results!$C$2:$C$61,B6)/COUNTIFS(instance_results!$B$2:$B$61,A6,instance_results!$C$2:$C$61,B6),0)</f>
        <v>940820441.60723591</v>
      </c>
      <c r="D6" s="3">
        <f>IFERROR(SUMIFS(instance_results!$E$2:$E$61,instance_results!$B$2:$B$61,A6,instance_results!$C$2:$C$61,B6)/COUNTIFS(instance_results!$B$2:$B$61,A6,instance_results!$C$2:$C$61,B6),0)</f>
        <v>4583779906.6150341</v>
      </c>
      <c r="E6" s="3">
        <f>IFERROR(SUMIFS(instance_results!$F$2:$F$61,instance_results!$B$2:$B$61,A6,instance_results!$C$2:$C$61,B6)/COUNTIFS(instance_results!$B$2:$B$61,A6,instance_results!$C$2:$C$61,B6),0)</f>
        <v>11549915.530884096</v>
      </c>
      <c r="F6" s="4">
        <f>IFERROR(SUMIFS(instance_results!$G$2:$G$61,instance_results!$B$2:$B$61,A6,instance_results!$C$2:$C$61,B6)/COUNTIFS(instance_results!$B$2:$B$61,A6,instance_results!$C$2:$C$61,B6),0)</f>
        <v>199579.9955855782</v>
      </c>
      <c r="G6" s="3">
        <f>IFERROR(SUMIFS(instance_results!$H$2:$H$61,instance_results!$B$2:$B$61,A6,instance_results!$C$2:$C$61,B6)/COUNTIFS(instance_results!$B$2:$B$61,A6,instance_results!$C$2:$C$61,B6),0)</f>
        <v>396018400.24762475</v>
      </c>
    </row>
    <row r="7" spans="1:7" x14ac:dyDescent="0.3">
      <c r="A7" s="2" t="s">
        <v>12</v>
      </c>
      <c r="B7" s="2" t="s">
        <v>9</v>
      </c>
      <c r="C7" s="3">
        <f>IFERROR(SUMIFS(instance_results!$D$2:$D$61,instance_results!$B$2:$B$61,A7,instance_results!$C$2:$C$61,B7)/COUNTIFS(instance_results!$B$2:$B$61,A7,instance_results!$C$2:$C$61,B7),0)</f>
        <v>1044610288.539572</v>
      </c>
      <c r="D7" s="3">
        <f>IFERROR(SUMIFS(instance_results!$E$2:$E$61,instance_results!$B$2:$B$61,A7,instance_results!$C$2:$C$61,B7)/COUNTIFS(instance_results!$B$2:$B$61,A7,instance_results!$C$2:$C$61,B7),0)</f>
        <v>4765285100.1566162</v>
      </c>
      <c r="E7" s="3">
        <f>IFERROR(SUMIFS(instance_results!$F$2:$F$61,instance_results!$B$2:$B$61,A7,instance_results!$C$2:$C$61,B7)/COUNTIFS(instance_results!$B$2:$B$61,A7,instance_results!$C$2:$C$61,B7),0)</f>
        <v>5284788.3846541718</v>
      </c>
      <c r="F7" s="4">
        <f>IFERROR(SUMIFS(instance_results!$G$2:$G$61,instance_results!$B$2:$B$61,A7,instance_results!$C$2:$C$61,B7)/COUNTIFS(instance_results!$B$2:$B$61,A7,instance_results!$C$2:$C$61,B7),0)</f>
        <v>90439.991556046356</v>
      </c>
      <c r="G7" s="3">
        <f>IFERROR(SUMIFS(instance_results!$H$2:$H$61,instance_results!$B$2:$B$61,A7,instance_results!$C$2:$C$61,B7)/COUNTIFS(instance_results!$B$2:$B$61,A7,instance_results!$C$2:$C$61,B7),0)</f>
        <v>483891797.56973803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instance_results</vt:lpstr>
      <vt:lpstr>scenario_averages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 Jin</cp:lastModifiedBy>
  <dcterms:modified xsi:type="dcterms:W3CDTF">2026-07-31T14:09:19Z</dcterms:modified>
</cp:coreProperties>
</file>