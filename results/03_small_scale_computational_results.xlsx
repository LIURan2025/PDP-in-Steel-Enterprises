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230DBF3B-AE5D-41CD-9D9A-3A9C6A4A6E7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  <c r="L12" i="1" l="1"/>
  <c r="K12" i="1"/>
  <c r="M12" i="1"/>
</calcChain>
</file>

<file path=xl/sharedStrings.xml><?xml version="1.0" encoding="utf-8"?>
<sst xmlns="http://schemas.openxmlformats.org/spreadsheetml/2006/main" count="14" uniqueCount="14">
  <si>
    <t>instance</t>
  </si>
  <si>
    <t>products</t>
  </si>
  <si>
    <t>DCs</t>
  </si>
  <si>
    <t>orders</t>
  </si>
  <si>
    <t>FO_time_s</t>
  </si>
  <si>
    <t>FO_objective_CNY</t>
  </si>
  <si>
    <t>Wang_objective_CNY</t>
  </si>
  <si>
    <t>Gurobi_time_s</t>
  </si>
  <si>
    <t>Gurobi_objective_CNY</t>
  </si>
  <si>
    <t>Gurobi_upper_bound_CNY</t>
  </si>
  <si>
    <t>FO_gap_to_UB</t>
  </si>
  <si>
    <t>Wang_gap_to_UB</t>
  </si>
  <si>
    <t>Gurobi_gap_to_UB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</si>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</sst>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showGridLines="0" tabSelected="1" workbookViewId="0"/>
  </sheetViews>
  <sheetFormatPr defaultRowHeight="13.5" x14ac:dyDescent="0.3"/>
  <cols>
    <col min="1" max="1" width="12.86328125" customWidth="1"/>
    <col min="2" max="2" width="13.33203125" customWidth="1"/>
    <col min="3" max="3" width="9.1328125" customWidth="1"/>
    <col min="4" max="4" width="11.19921875" customWidth="1"/>
    <col min="5" max="5" width="14.9296875" customWidth="1"/>
    <col min="6" max="6" width="18.86328125" customWidth="1"/>
    <col min="7" max="7" width="21.3984375" customWidth="1"/>
    <col min="8" max="8" width="18.6640625" customWidth="1"/>
    <col min="9" max="9" width="22.59765625" customWidth="1"/>
    <col min="10" max="10" width="27.3984375" customWidth="1"/>
    <col min="11" max="11" width="17.53125" customWidth="1"/>
    <col min="12" max="12" width="20.06640625" customWidth="1"/>
    <col min="13" max="13" width="21.265625" customWidth="1"/>
  </cols>
  <sheetData>
    <row r="1" spans="1:13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>
        <v>40</v>
      </c>
      <c r="C2" s="2">
        <v>20</v>
      </c>
      <c r="D2" s="2">
        <v>900</v>
      </c>
      <c r="E2" s="3">
        <v>11573.082381725309</v>
      </c>
      <c r="F2" s="4">
        <v>783143562.79042995</v>
      </c>
      <c r="G2" s="4">
        <v>491745270.06488281</v>
      </c>
      <c r="H2" s="3">
        <v>86401.884839773178</v>
      </c>
      <c r="I2" s="4">
        <v>776894476.2974751</v>
      </c>
      <c r="J2" s="4">
        <v>825278254.94029522</v>
      </c>
      <c r="K2" s="5">
        <f t="shared" ref="K2:K11" si="0">IFERROR((J2-F2)/J2,0)</f>
        <v>5.1055134310928264E-2</v>
      </c>
      <c r="L2" s="5">
        <f t="shared" ref="L2:L11" si="1">IFERROR((J2-G2)/J2,0)</f>
        <v>0.40414609603344254</v>
      </c>
      <c r="M2" s="5">
        <f t="shared" ref="M2:M11" si="2">IFERROR((J2-I2)/J2,0)</f>
        <v>5.8627230698475689E-2</v>
      </c>
    </row>
    <row r="3" spans="1:13" x14ac:dyDescent="0.3">
      <c r="A3" s="2">
        <v>2</v>
      </c>
      <c r="B3" s="2">
        <v>60</v>
      </c>
      <c r="C3" s="2">
        <v>25</v>
      </c>
      <c r="D3" s="2">
        <v>800</v>
      </c>
      <c r="E3" s="3">
        <v>12384.70559692383</v>
      </c>
      <c r="F3" s="4">
        <v>925893429.88254535</v>
      </c>
      <c r="G3" s="4">
        <v>609024538.53489566</v>
      </c>
      <c r="H3" s="3">
        <v>86400.930724143982</v>
      </c>
      <c r="I3" s="4">
        <v>883704837.70508909</v>
      </c>
      <c r="J3" s="4">
        <v>984655158.66028392</v>
      </c>
      <c r="K3" s="5">
        <f t="shared" si="0"/>
        <v>5.9677470087791382E-2</v>
      </c>
      <c r="L3" s="5">
        <f t="shared" si="1"/>
        <v>0.38148443830474527</v>
      </c>
      <c r="M3" s="5">
        <f t="shared" si="2"/>
        <v>0.10252352822946385</v>
      </c>
    </row>
    <row r="4" spans="1:13" x14ac:dyDescent="0.3">
      <c r="A4" s="2">
        <v>3</v>
      </c>
      <c r="B4" s="2">
        <v>60</v>
      </c>
      <c r="C4" s="2">
        <v>25</v>
      </c>
      <c r="D4" s="2">
        <v>900</v>
      </c>
      <c r="E4" s="3">
        <v>16205.909412145609</v>
      </c>
      <c r="F4" s="4">
        <v>930642983.00057554</v>
      </c>
      <c r="G4" s="4">
        <v>670167105.47281289</v>
      </c>
      <c r="H4" s="3">
        <v>86401.36915230751</v>
      </c>
      <c r="I4" s="4">
        <v>715835408.13711536</v>
      </c>
      <c r="J4" s="4">
        <v>992955164.04054368</v>
      </c>
      <c r="K4" s="5">
        <f t="shared" si="0"/>
        <v>6.2754274610352739E-2</v>
      </c>
      <c r="L4" s="5">
        <f t="shared" si="1"/>
        <v>0.32507818102706493</v>
      </c>
      <c r="M4" s="5">
        <f t="shared" si="2"/>
        <v>0.27908587007672098</v>
      </c>
    </row>
    <row r="5" spans="1:13" x14ac:dyDescent="0.3">
      <c r="A5" s="2">
        <v>4</v>
      </c>
      <c r="B5" s="2">
        <v>80</v>
      </c>
      <c r="C5" s="2">
        <v>30</v>
      </c>
      <c r="D5" s="2">
        <v>800</v>
      </c>
      <c r="E5" s="3">
        <v>14914.87702488899</v>
      </c>
      <c r="F5" s="4">
        <v>1002299266.7307039</v>
      </c>
      <c r="G5" s="4">
        <v>683135095.79853022</v>
      </c>
      <c r="H5" s="3">
        <v>86400.877541542097</v>
      </c>
      <c r="I5" s="4">
        <v>543238464.96350896</v>
      </c>
      <c r="J5" s="4">
        <v>1072046263.7729501</v>
      </c>
      <c r="K5" s="5">
        <f t="shared" si="0"/>
        <v>6.5059689492111231E-2</v>
      </c>
      <c r="L5" s="5">
        <f t="shared" si="1"/>
        <v>0.36277461254861271</v>
      </c>
      <c r="M5" s="5">
        <f t="shared" si="2"/>
        <v>0.49326956930791366</v>
      </c>
    </row>
    <row r="6" spans="1:13" x14ac:dyDescent="0.3">
      <c r="A6" s="2">
        <v>5</v>
      </c>
      <c r="B6" s="2">
        <v>80</v>
      </c>
      <c r="C6" s="2">
        <v>30</v>
      </c>
      <c r="D6" s="2">
        <v>900</v>
      </c>
      <c r="E6" s="3">
        <v>18574.811434030529</v>
      </c>
      <c r="F6" s="4">
        <v>912646470.14694619</v>
      </c>
      <c r="G6" s="4">
        <v>651361153.26226091</v>
      </c>
      <c r="H6" s="3">
        <v>86401.041182994843</v>
      </c>
      <c r="I6" s="4">
        <v>596950210.8064276</v>
      </c>
      <c r="J6" s="4">
        <v>978368942.12748444</v>
      </c>
      <c r="K6" s="5">
        <f t="shared" si="0"/>
        <v>6.717555019441164E-2</v>
      </c>
      <c r="L6" s="5">
        <f t="shared" si="1"/>
        <v>0.33423770398326219</v>
      </c>
      <c r="M6" s="5">
        <f t="shared" si="2"/>
        <v>0.38985163459058048</v>
      </c>
    </row>
    <row r="7" spans="1:13" x14ac:dyDescent="0.3">
      <c r="A7" s="2">
        <v>6</v>
      </c>
      <c r="B7" s="2">
        <v>80</v>
      </c>
      <c r="C7" s="2">
        <v>30</v>
      </c>
      <c r="D7" s="2">
        <v>900</v>
      </c>
      <c r="E7" s="3">
        <v>14934.72574162483</v>
      </c>
      <c r="F7" s="4">
        <v>993505782.50080919</v>
      </c>
      <c r="G7" s="4">
        <v>816654371.00149214</v>
      </c>
      <c r="H7" s="3">
        <v>86400.969632387161</v>
      </c>
      <c r="I7" s="4">
        <v>60478333.467622653</v>
      </c>
      <c r="J7" s="4">
        <v>1062384819.008513</v>
      </c>
      <c r="K7" s="5">
        <f t="shared" si="0"/>
        <v>6.4834356887729441E-2</v>
      </c>
      <c r="L7" s="5">
        <f t="shared" si="1"/>
        <v>0.23130079008127447</v>
      </c>
      <c r="M7" s="5">
        <f t="shared" si="2"/>
        <v>0.94307304435687911</v>
      </c>
    </row>
    <row r="8" spans="1:13" x14ac:dyDescent="0.3">
      <c r="A8" s="2">
        <v>7</v>
      </c>
      <c r="B8" s="2">
        <v>100</v>
      </c>
      <c r="C8" s="2">
        <v>35</v>
      </c>
      <c r="D8" s="2">
        <v>1000</v>
      </c>
      <c r="E8" s="3">
        <v>13770.69617366791</v>
      </c>
      <c r="F8" s="4">
        <v>1212534492.055934</v>
      </c>
      <c r="G8" s="4">
        <v>819296208.4892962</v>
      </c>
      <c r="H8" s="3">
        <v>86401.754322290421</v>
      </c>
      <c r="I8" s="4">
        <v>-365475442.67666829</v>
      </c>
      <c r="J8" s="4">
        <v>1303171644.232147</v>
      </c>
      <c r="K8" s="5">
        <f t="shared" si="0"/>
        <v>6.9551200394341095E-2</v>
      </c>
      <c r="L8" s="5">
        <f t="shared" si="1"/>
        <v>0.37130598865045072</v>
      </c>
      <c r="M8" s="5">
        <f t="shared" si="2"/>
        <v>1.2804507328672068</v>
      </c>
    </row>
    <row r="9" spans="1:13" x14ac:dyDescent="0.3">
      <c r="A9" s="2">
        <v>8</v>
      </c>
      <c r="B9" s="2">
        <v>100</v>
      </c>
      <c r="C9" s="2">
        <v>35</v>
      </c>
      <c r="D9" s="2">
        <v>1100</v>
      </c>
      <c r="E9" s="3">
        <v>21638.583582639691</v>
      </c>
      <c r="F9" s="4">
        <v>1142460863.191509</v>
      </c>
      <c r="G9" s="4">
        <v>655049065.69953251</v>
      </c>
      <c r="H9" s="3">
        <v>86401.382893323898</v>
      </c>
      <c r="I9" s="4">
        <v>-37948276.494057797</v>
      </c>
      <c r="J9" s="4">
        <v>1229168291.393085</v>
      </c>
      <c r="K9" s="5">
        <f t="shared" si="0"/>
        <v>7.0541543260366435E-2</v>
      </c>
      <c r="L9" s="5">
        <f t="shared" si="1"/>
        <v>0.46707943063099289</v>
      </c>
      <c r="M9" s="5">
        <f t="shared" si="2"/>
        <v>1.0308731332884036</v>
      </c>
    </row>
    <row r="10" spans="1:13" x14ac:dyDescent="0.3">
      <c r="A10" s="2">
        <v>9</v>
      </c>
      <c r="B10" s="2">
        <v>110</v>
      </c>
      <c r="C10" s="2">
        <v>35</v>
      </c>
      <c r="D10" s="2">
        <v>1200</v>
      </c>
      <c r="E10" s="3">
        <v>20609.928759813309</v>
      </c>
      <c r="F10" s="4">
        <v>1333847016.817946</v>
      </c>
      <c r="G10" s="4">
        <v>1025758888.614718</v>
      </c>
      <c r="H10" s="3">
        <v>86401.509886741638</v>
      </c>
      <c r="I10" s="4">
        <v>-205677495.56136721</v>
      </c>
      <c r="J10" s="4">
        <v>1433525405.9646959</v>
      </c>
      <c r="K10" s="5">
        <f t="shared" si="0"/>
        <v>6.9533744384300641E-2</v>
      </c>
      <c r="L10" s="5">
        <f t="shared" si="1"/>
        <v>0.28445015041471838</v>
      </c>
      <c r="M10" s="5">
        <f t="shared" si="2"/>
        <v>1.1434767006608828</v>
      </c>
    </row>
    <row r="11" spans="1:13" x14ac:dyDescent="0.3">
      <c r="A11" s="2">
        <v>10</v>
      </c>
      <c r="B11" s="2">
        <v>120</v>
      </c>
      <c r="C11" s="2">
        <v>40</v>
      </c>
      <c r="D11" s="2">
        <v>1200</v>
      </c>
      <c r="E11" s="3">
        <v>22398.5097515583</v>
      </c>
      <c r="F11" s="4">
        <v>1341652740.8852949</v>
      </c>
      <c r="G11" s="4">
        <v>981951922.34399879</v>
      </c>
      <c r="H11" s="3">
        <v>86402.175280094147</v>
      </c>
      <c r="I11" s="4">
        <v>-186021694.6647194</v>
      </c>
      <c r="J11" s="4">
        <v>1445982393.710578</v>
      </c>
      <c r="K11" s="5">
        <f t="shared" si="0"/>
        <v>7.2151399131188357E-2</v>
      </c>
      <c r="L11" s="5">
        <f t="shared" si="1"/>
        <v>0.3209101807773862</v>
      </c>
      <c r="M11" s="5">
        <f t="shared" si="2"/>
        <v>1.1286472750109797</v>
      </c>
    </row>
    <row r="12" spans="1:13" x14ac:dyDescent="0.3">
      <c r="A12" s="6" t="s">
        <v>13</v>
      </c>
      <c r="E12" s="3">
        <f>AVERAGE(E2:E11)</f>
        <v>16700.582985901834</v>
      </c>
      <c r="F12" s="4">
        <f t="shared" ref="F12:M12" si="3">AVERAGE(F2:F11)</f>
        <v>1057862660.8002694</v>
      </c>
      <c r="G12" s="4">
        <f t="shared" si="3"/>
        <v>740414361.92824197</v>
      </c>
      <c r="H12" s="3">
        <f t="shared" si="3"/>
        <v>86401.389545559883</v>
      </c>
      <c r="I12" s="4">
        <f t="shared" si="3"/>
        <v>278197882.19804263</v>
      </c>
      <c r="J12" s="4">
        <f t="shared" si="3"/>
        <v>1132753633.7850578</v>
      </c>
      <c r="K12" s="5">
        <f t="shared" si="3"/>
        <v>6.5233436275352122E-2</v>
      </c>
      <c r="L12" s="5">
        <f t="shared" si="3"/>
        <v>0.34827675724519508</v>
      </c>
      <c r="M12" s="5">
        <f t="shared" si="3"/>
        <v>0.68498787190875066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2026-07-31T14:10:00Z</dcterms:modified>
</cp:coreProperties>
</file>