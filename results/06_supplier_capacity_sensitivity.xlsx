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results\"/>
    </mc:Choice>
  </mc:AlternateContent>
  <xr:revisionPtr revIDLastSave="0" documentId="13_ncr:1_{41B10328-7B48-40C6-8859-EC76980DC236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instance_results" sheetId="1" r:id="rId1"/>
    <sheet name="scenario_averages" sheetId="2" r:id="rId2"/>
  </sheets>
  <calcPr calcId="191029"/>
</workbook>
</file>

<file path=xl/calcChain.xml><?xml version="1.0" encoding="utf-8"?>
<calcChain xmlns="http://schemas.openxmlformats.org/spreadsheetml/2006/main">
  <c r="G7" i="2" l="1"/>
  <c r="F7" i="2"/>
  <c r="E7" i="2"/>
  <c r="D7" i="2"/>
  <c r="C7" i="2"/>
  <c r="G6" i="2"/>
  <c r="F6" i="2"/>
  <c r="E6" i="2"/>
  <c r="D6" i="2"/>
  <c r="C6" i="2"/>
  <c r="G5" i="2"/>
  <c r="F5" i="2"/>
  <c r="E5" i="2"/>
  <c r="D5" i="2"/>
  <c r="C5" i="2"/>
  <c r="G4" i="2"/>
  <c r="F4" i="2"/>
  <c r="E4" i="2"/>
  <c r="D4" i="2"/>
  <c r="C4" i="2"/>
  <c r="G3" i="2"/>
  <c r="F3" i="2"/>
  <c r="E3" i="2"/>
  <c r="D3" i="2"/>
  <c r="C3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<sst xmlns="http://schemas.openxmlformats.org/spreadsheetml/2006/main" count="147" uniqueCount="18">
  <si>
    <t>instance</t>
  </si>
  <si>
    <t>supplier_capacity</t>
  </si>
  <si>
    <t>scenario</t>
  </si>
  <si>
    <t>total_profit_CNY</t>
  </si>
  <si>
    <t>sales_revenue_CNY</t>
  </si>
  <si>
    <t>external_procurement_cost_CNY</t>
  </si>
  <si>
    <t>external_procurement_quantity_t</t>
  </si>
  <si>
    <t>transport_cost_CNY</t>
  </si>
  <si>
    <t>tight</t>
  </si>
  <si>
    <t>full_interplant</t>
  </si>
  <si>
    <t>no_interplant</t>
  </si>
  <si>
    <t>base</t>
  </si>
  <si>
    <t>abundant</t>
  </si>
  <si>
    <t>average_total_profit_CNY</t>
  </si>
  <si>
    <t>average_sales_revenue_CNY</t>
  </si>
  <si>
    <t>average_external_procurement_cost_CNY</t>
  </si>
  <si>
    <t>average_external_procurement_quantity_t</t>
  </si>
  <si>
    <t>average_transport_cost_CNY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</si>
</sst>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showGridLines="0" workbookViewId="0"/>
  </sheetViews>
  <sheetFormatPr defaultRowHeight="13.5" x14ac:dyDescent="0.3"/>
  <cols>
    <col min="1" max="1" width="12" customWidth="1"/>
    <col min="2" max="2" width="19.06640625" customWidth="1"/>
    <col min="3" max="3" width="17" customWidth="1"/>
    <col min="4" max="5" width="19" customWidth="1"/>
    <col min="6" max="6" width="30.3984375" customWidth="1"/>
    <col min="7" max="7" width="30" customWidth="1"/>
    <col min="8" max="8" width="20" customWidth="1"/>
  </cols>
  <sheetData>
    <row r="1" spans="1:8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3">
        <v>782645698.54737699</v>
      </c>
      <c r="E2" s="3">
        <v>3604313967.7100081</v>
      </c>
      <c r="F2" s="3">
        <v>17686014.383087002</v>
      </c>
      <c r="G2" s="4">
        <v>568800.00199995958</v>
      </c>
      <c r="H2" s="3">
        <v>371539983.74935979</v>
      </c>
    </row>
    <row r="3" spans="1:8" x14ac:dyDescent="0.3">
      <c r="A3" s="2">
        <v>2</v>
      </c>
      <c r="B3" s="2" t="s">
        <v>8</v>
      </c>
      <c r="C3" s="2" t="s">
        <v>9</v>
      </c>
      <c r="D3" s="3">
        <v>930326683.71895707</v>
      </c>
      <c r="E3" s="3">
        <v>4349053332.2104836</v>
      </c>
      <c r="F3" s="3">
        <v>35347906.728196777</v>
      </c>
      <c r="G3" s="4">
        <v>1107600.014117422</v>
      </c>
      <c r="H3" s="3">
        <v>429135099.09973383</v>
      </c>
    </row>
    <row r="4" spans="1:8" x14ac:dyDescent="0.3">
      <c r="A4" s="2">
        <v>3</v>
      </c>
      <c r="B4" s="2" t="s">
        <v>8</v>
      </c>
      <c r="C4" s="2" t="s">
        <v>9</v>
      </c>
      <c r="D4" s="3">
        <v>934607971.12088609</v>
      </c>
      <c r="E4" s="3">
        <v>4283872716.1437268</v>
      </c>
      <c r="F4" s="3">
        <v>38447592.349660158</v>
      </c>
      <c r="G4" s="4">
        <v>1215200.158669244</v>
      </c>
      <c r="H4" s="3">
        <v>440645578.975407</v>
      </c>
    </row>
    <row r="5" spans="1:8" x14ac:dyDescent="0.3">
      <c r="A5" s="2">
        <v>4</v>
      </c>
      <c r="B5" s="2" t="s">
        <v>8</v>
      </c>
      <c r="C5" s="2" t="s">
        <v>9</v>
      </c>
      <c r="D5" s="3">
        <v>999539772.31256545</v>
      </c>
      <c r="E5" s="3">
        <v>4505786227.8699636</v>
      </c>
      <c r="F5" s="3">
        <v>58764294.707914919</v>
      </c>
      <c r="G5" s="4">
        <v>1804800.04440911</v>
      </c>
      <c r="H5" s="3">
        <v>456020465.60915941</v>
      </c>
    </row>
    <row r="6" spans="1:8" x14ac:dyDescent="0.3">
      <c r="A6" s="2">
        <v>5</v>
      </c>
      <c r="B6" s="2" t="s">
        <v>8</v>
      </c>
      <c r="C6" s="2" t="s">
        <v>9</v>
      </c>
      <c r="D6" s="3">
        <v>908433293.27256954</v>
      </c>
      <c r="E6" s="3">
        <v>4331255817.4208984</v>
      </c>
      <c r="F6" s="3">
        <v>57667913.539165311</v>
      </c>
      <c r="G6" s="4">
        <v>1784800.0990317159</v>
      </c>
      <c r="H6" s="3">
        <v>467428918.94412333</v>
      </c>
    </row>
    <row r="7" spans="1:8" x14ac:dyDescent="0.3">
      <c r="A7" s="2">
        <v>6</v>
      </c>
      <c r="B7" s="2" t="s">
        <v>8</v>
      </c>
      <c r="C7" s="2" t="s">
        <v>9</v>
      </c>
      <c r="D7" s="3">
        <v>985260184.78476274</v>
      </c>
      <c r="E7" s="3">
        <v>4345296618.4507113</v>
      </c>
      <c r="F7" s="3">
        <v>47789987.887906767</v>
      </c>
      <c r="G7" s="4">
        <v>1499999.999599919</v>
      </c>
      <c r="H7" s="3">
        <v>412608624.19260699</v>
      </c>
    </row>
    <row r="8" spans="1:8" x14ac:dyDescent="0.3">
      <c r="A8" s="2">
        <v>7</v>
      </c>
      <c r="B8" s="2" t="s">
        <v>8</v>
      </c>
      <c r="C8" s="2" t="s">
        <v>9</v>
      </c>
      <c r="D8" s="3">
        <v>1204861826.038626</v>
      </c>
      <c r="E8" s="3">
        <v>5291525652.7258167</v>
      </c>
      <c r="F8" s="3">
        <v>55664449.762336828</v>
      </c>
      <c r="G8" s="4">
        <v>1787600.0386629209</v>
      </c>
      <c r="H8" s="3">
        <v>529380945.51059252</v>
      </c>
    </row>
    <row r="9" spans="1:8" x14ac:dyDescent="0.3">
      <c r="A9" s="2">
        <v>8</v>
      </c>
      <c r="B9" s="2" t="s">
        <v>8</v>
      </c>
      <c r="C9" s="2" t="s">
        <v>9</v>
      </c>
      <c r="D9" s="3">
        <v>1128653632.9388261</v>
      </c>
      <c r="E9" s="3">
        <v>5469507899.1964512</v>
      </c>
      <c r="F9" s="3">
        <v>71612525.922705829</v>
      </c>
      <c r="G9" s="4">
        <v>2268800.0331156552</v>
      </c>
      <c r="H9" s="3">
        <v>565627602.45311582</v>
      </c>
    </row>
    <row r="10" spans="1:8" x14ac:dyDescent="0.3">
      <c r="A10" s="2">
        <v>9</v>
      </c>
      <c r="B10" s="2" t="s">
        <v>8</v>
      </c>
      <c r="C10" s="2" t="s">
        <v>9</v>
      </c>
      <c r="D10" s="3">
        <v>1319657666.1224079</v>
      </c>
      <c r="E10" s="3">
        <v>5885128784.2373171</v>
      </c>
      <c r="F10" s="3">
        <v>88315364.867638752</v>
      </c>
      <c r="G10" s="4">
        <v>2828000.2025419241</v>
      </c>
      <c r="H10" s="3">
        <v>585054606.00483406</v>
      </c>
    </row>
    <row r="11" spans="1:8" x14ac:dyDescent="0.3">
      <c r="A11" s="2">
        <v>10</v>
      </c>
      <c r="B11" s="2" t="s">
        <v>8</v>
      </c>
      <c r="C11" s="2" t="s">
        <v>9</v>
      </c>
      <c r="D11" s="3">
        <v>1321771223.382277</v>
      </c>
      <c r="E11" s="3">
        <v>6146905153.909832</v>
      </c>
      <c r="F11" s="3">
        <v>102689770.9980901</v>
      </c>
      <c r="G11" s="4">
        <v>3248400.0139002679</v>
      </c>
      <c r="H11" s="3">
        <v>620757265.30077219</v>
      </c>
    </row>
    <row r="12" spans="1:8" x14ac:dyDescent="0.3">
      <c r="A12" s="2">
        <v>1</v>
      </c>
      <c r="B12" s="2" t="s">
        <v>8</v>
      </c>
      <c r="C12" s="2" t="s">
        <v>10</v>
      </c>
      <c r="D12" s="3">
        <v>710097444.26729047</v>
      </c>
      <c r="E12" s="3">
        <v>3515622689.9267612</v>
      </c>
      <c r="F12" s="3">
        <v>37532708.886034623</v>
      </c>
      <c r="G12" s="4">
        <v>1133899.9999997171</v>
      </c>
      <c r="H12" s="3">
        <v>317879137.52932519</v>
      </c>
    </row>
    <row r="13" spans="1:8" x14ac:dyDescent="0.3">
      <c r="A13" s="2">
        <v>2</v>
      </c>
      <c r="B13" s="2" t="s">
        <v>8</v>
      </c>
      <c r="C13" s="2" t="s">
        <v>10</v>
      </c>
      <c r="D13" s="3">
        <v>854719183.58871782</v>
      </c>
      <c r="E13" s="3">
        <v>4279817359.369483</v>
      </c>
      <c r="F13" s="3">
        <v>75652110.51091665</v>
      </c>
      <c r="G13" s="4">
        <v>2266100.005899772</v>
      </c>
      <c r="H13" s="3">
        <v>388497141.45704269</v>
      </c>
    </row>
    <row r="14" spans="1:8" x14ac:dyDescent="0.3">
      <c r="A14" s="2">
        <v>3</v>
      </c>
      <c r="B14" s="2" t="s">
        <v>8</v>
      </c>
      <c r="C14" s="2" t="s">
        <v>10</v>
      </c>
      <c r="D14" s="3">
        <v>849417357.09061182</v>
      </c>
      <c r="E14" s="3">
        <v>4205853880.0285559</v>
      </c>
      <c r="F14" s="3">
        <v>102086907.1903467</v>
      </c>
      <c r="G14" s="4">
        <v>3006800.0140334498</v>
      </c>
      <c r="H14" s="3">
        <v>372509810.38386881</v>
      </c>
    </row>
    <row r="15" spans="1:8" x14ac:dyDescent="0.3">
      <c r="A15" s="2">
        <v>4</v>
      </c>
      <c r="B15" s="2" t="s">
        <v>8</v>
      </c>
      <c r="C15" s="2" t="s">
        <v>10</v>
      </c>
      <c r="D15" s="3">
        <v>941808568.86704838</v>
      </c>
      <c r="E15" s="3">
        <v>4455460585.0023508</v>
      </c>
      <c r="F15" s="3">
        <v>111767218.6415506</v>
      </c>
      <c r="G15" s="4">
        <v>3278100.134936119</v>
      </c>
      <c r="H15" s="3">
        <v>389501811.04954851</v>
      </c>
    </row>
    <row r="16" spans="1:8" x14ac:dyDescent="0.3">
      <c r="A16" s="2">
        <v>5</v>
      </c>
      <c r="B16" s="2" t="s">
        <v>8</v>
      </c>
      <c r="C16" s="2" t="s">
        <v>10</v>
      </c>
      <c r="D16" s="3">
        <v>831592132.85559571</v>
      </c>
      <c r="E16" s="3">
        <v>4256244299.7453451</v>
      </c>
      <c r="F16" s="3">
        <v>99964261.066458791</v>
      </c>
      <c r="G16" s="4">
        <v>2979799.995427473</v>
      </c>
      <c r="H16" s="3">
        <v>378661705.27262479</v>
      </c>
    </row>
    <row r="17" spans="1:8" x14ac:dyDescent="0.3">
      <c r="A17" s="2">
        <v>6</v>
      </c>
      <c r="B17" s="2" t="s">
        <v>8</v>
      </c>
      <c r="C17" s="2" t="s">
        <v>10</v>
      </c>
      <c r="D17" s="3">
        <v>893941429.40281558</v>
      </c>
      <c r="E17" s="3">
        <v>4317526887.2386837</v>
      </c>
      <c r="F17" s="3">
        <v>137365425.07242301</v>
      </c>
      <c r="G17" s="4">
        <v>4004400.0739541859</v>
      </c>
      <c r="H17" s="3">
        <v>351035844.8359828</v>
      </c>
    </row>
    <row r="18" spans="1:8" x14ac:dyDescent="0.3">
      <c r="A18" s="2">
        <v>7</v>
      </c>
      <c r="B18" s="2" t="s">
        <v>8</v>
      </c>
      <c r="C18" s="2" t="s">
        <v>10</v>
      </c>
      <c r="D18" s="3">
        <v>1115288212.046267</v>
      </c>
      <c r="E18" s="3">
        <v>5201611479.749403</v>
      </c>
      <c r="F18" s="3">
        <v>110478174.544361</v>
      </c>
      <c r="G18" s="4">
        <v>3372700.005500304</v>
      </c>
      <c r="H18" s="3">
        <v>434800522.26099628</v>
      </c>
    </row>
    <row r="19" spans="1:8" x14ac:dyDescent="0.3">
      <c r="A19" s="2">
        <v>8</v>
      </c>
      <c r="B19" s="2" t="s">
        <v>8</v>
      </c>
      <c r="C19" s="2" t="s">
        <v>10</v>
      </c>
      <c r="D19" s="3">
        <v>1027024458.090006</v>
      </c>
      <c r="E19" s="3">
        <v>5437695575.7859974</v>
      </c>
      <c r="F19" s="3">
        <v>173127875.2752471</v>
      </c>
      <c r="G19" s="4">
        <v>5137400.0670588966</v>
      </c>
      <c r="H19" s="3">
        <v>481557578.11154658</v>
      </c>
    </row>
    <row r="20" spans="1:8" x14ac:dyDescent="0.3">
      <c r="A20" s="2">
        <v>9</v>
      </c>
      <c r="B20" s="2" t="s">
        <v>8</v>
      </c>
      <c r="C20" s="2" t="s">
        <v>10</v>
      </c>
      <c r="D20" s="3">
        <v>1204232437.6151481</v>
      </c>
      <c r="E20" s="3">
        <v>5859389124.2527113</v>
      </c>
      <c r="F20" s="3">
        <v>243854170.43207559</v>
      </c>
      <c r="G20" s="4">
        <v>7112400.1110452693</v>
      </c>
      <c r="H20" s="3">
        <v>482308650.70161867</v>
      </c>
    </row>
    <row r="21" spans="1:8" x14ac:dyDescent="0.3">
      <c r="A21" s="2">
        <v>10</v>
      </c>
      <c r="B21" s="2" t="s">
        <v>8</v>
      </c>
      <c r="C21" s="2" t="s">
        <v>10</v>
      </c>
      <c r="D21" s="3">
        <v>1204840456.083806</v>
      </c>
      <c r="E21" s="3">
        <v>6063235023.6192627</v>
      </c>
      <c r="F21" s="3">
        <v>194890800.49405211</v>
      </c>
      <c r="G21" s="4">
        <v>5845499.9665860543</v>
      </c>
      <c r="H21" s="3">
        <v>527665325.32743871</v>
      </c>
    </row>
    <row r="22" spans="1:8" x14ac:dyDescent="0.3">
      <c r="A22" s="2">
        <v>1</v>
      </c>
      <c r="B22" s="2" t="s">
        <v>11</v>
      </c>
      <c r="C22" s="2" t="s">
        <v>9</v>
      </c>
      <c r="D22" s="3">
        <v>778245741.11721539</v>
      </c>
      <c r="E22" s="3">
        <v>3623311686.2684159</v>
      </c>
      <c r="F22" s="3">
        <v>37376071.331712402</v>
      </c>
      <c r="G22" s="4">
        <v>1198800.0377514921</v>
      </c>
      <c r="H22" s="3">
        <v>377049623.80530268</v>
      </c>
    </row>
    <row r="23" spans="1:8" x14ac:dyDescent="0.3">
      <c r="A23" s="2">
        <v>2</v>
      </c>
      <c r="B23" s="2" t="s">
        <v>11</v>
      </c>
      <c r="C23" s="2" t="s">
        <v>9</v>
      </c>
      <c r="D23" s="3">
        <v>932153363.24078393</v>
      </c>
      <c r="E23" s="3">
        <v>4375057555.7075396</v>
      </c>
      <c r="F23" s="3">
        <v>58211756.507567659</v>
      </c>
      <c r="G23" s="4">
        <v>1887600.0016998821</v>
      </c>
      <c r="H23" s="3">
        <v>429617645.98153508</v>
      </c>
    </row>
    <row r="24" spans="1:8" x14ac:dyDescent="0.3">
      <c r="A24" s="2">
        <v>3</v>
      </c>
      <c r="B24" s="2" t="s">
        <v>11</v>
      </c>
      <c r="C24" s="2" t="s">
        <v>9</v>
      </c>
      <c r="D24" s="3">
        <v>933260634.67443597</v>
      </c>
      <c r="E24" s="3">
        <v>4307395953.8433046</v>
      </c>
      <c r="F24" s="3">
        <v>73175671.067065686</v>
      </c>
      <c r="G24" s="4">
        <v>2315200.049940058</v>
      </c>
      <c r="H24" s="3">
        <v>446816492.65514398</v>
      </c>
    </row>
    <row r="25" spans="1:8" x14ac:dyDescent="0.3">
      <c r="A25" s="2">
        <v>4</v>
      </c>
      <c r="B25" s="2" t="s">
        <v>11</v>
      </c>
      <c r="C25" s="2" t="s">
        <v>9</v>
      </c>
      <c r="D25" s="3">
        <v>1006858754.95862</v>
      </c>
      <c r="E25" s="3">
        <v>4538123584.9510918</v>
      </c>
      <c r="F25" s="3">
        <v>117437418.8413319</v>
      </c>
      <c r="G25" s="4">
        <v>3614799.9642777792</v>
      </c>
      <c r="H25" s="3">
        <v>440647476.26618338</v>
      </c>
    </row>
    <row r="26" spans="1:8" x14ac:dyDescent="0.3">
      <c r="A26" s="2">
        <v>5</v>
      </c>
      <c r="B26" s="2" t="s">
        <v>11</v>
      </c>
      <c r="C26" s="2" t="s">
        <v>9</v>
      </c>
      <c r="D26" s="3">
        <v>913254827.4743129</v>
      </c>
      <c r="E26" s="3">
        <v>4356892930.1833715</v>
      </c>
      <c r="F26" s="3">
        <v>107554873.7276514</v>
      </c>
      <c r="G26" s="4">
        <v>3363200.180499733</v>
      </c>
      <c r="H26" s="3">
        <v>453415405.30036139</v>
      </c>
    </row>
    <row r="27" spans="1:8" x14ac:dyDescent="0.3">
      <c r="A27" s="2">
        <v>6</v>
      </c>
      <c r="B27" s="2" t="s">
        <v>11</v>
      </c>
      <c r="C27" s="2" t="s">
        <v>9</v>
      </c>
      <c r="D27" s="3">
        <v>998493977.41928899</v>
      </c>
      <c r="E27" s="3">
        <v>4403777048.1440239</v>
      </c>
      <c r="F27" s="3">
        <v>86336436.842437908</v>
      </c>
      <c r="G27" s="4">
        <v>2770800.0461644251</v>
      </c>
      <c r="H27" s="3">
        <v>423018218.62759602</v>
      </c>
    </row>
    <row r="28" spans="1:8" x14ac:dyDescent="0.3">
      <c r="A28" s="2">
        <v>7</v>
      </c>
      <c r="B28" s="2" t="s">
        <v>11</v>
      </c>
      <c r="C28" s="2" t="s">
        <v>9</v>
      </c>
      <c r="D28" s="3">
        <v>1207481498.0217209</v>
      </c>
      <c r="E28" s="3">
        <v>5318048135.3937607</v>
      </c>
      <c r="F28" s="3">
        <v>92511562.034978405</v>
      </c>
      <c r="G28" s="4">
        <v>3028400.019123069</v>
      </c>
      <c r="H28" s="3">
        <v>538356178.32615471</v>
      </c>
    </row>
    <row r="29" spans="1:8" x14ac:dyDescent="0.3">
      <c r="A29" s="2">
        <v>8</v>
      </c>
      <c r="B29" s="2" t="s">
        <v>11</v>
      </c>
      <c r="C29" s="2" t="s">
        <v>9</v>
      </c>
      <c r="D29" s="3">
        <v>1144310402.229131</v>
      </c>
      <c r="E29" s="3">
        <v>5518784663.3063765</v>
      </c>
      <c r="F29" s="3">
        <v>150643719.8277221</v>
      </c>
      <c r="G29" s="4">
        <v>4778800.0113762058</v>
      </c>
      <c r="H29" s="3">
        <v>564191485.04233325</v>
      </c>
    </row>
    <row r="30" spans="1:8" x14ac:dyDescent="0.3">
      <c r="A30" s="2">
        <v>9</v>
      </c>
      <c r="B30" s="2" t="s">
        <v>11</v>
      </c>
      <c r="C30" s="2" t="s">
        <v>9</v>
      </c>
      <c r="D30" s="3">
        <v>1337241852.281914</v>
      </c>
      <c r="E30" s="3">
        <v>5970204075.607132</v>
      </c>
      <c r="F30" s="3">
        <v>163533561.75765389</v>
      </c>
      <c r="G30" s="4">
        <v>5278000.0869298689</v>
      </c>
      <c r="H30" s="3">
        <v>573565057.4186933</v>
      </c>
    </row>
    <row r="31" spans="1:8" x14ac:dyDescent="0.3">
      <c r="A31" s="2">
        <v>10</v>
      </c>
      <c r="B31" s="2" t="s">
        <v>11</v>
      </c>
      <c r="C31" s="2" t="s">
        <v>9</v>
      </c>
      <c r="D31" s="3">
        <v>1342746760.0678301</v>
      </c>
      <c r="E31" s="3">
        <v>6233325985.4437256</v>
      </c>
      <c r="F31" s="3">
        <v>187539163.1699267</v>
      </c>
      <c r="G31" s="4">
        <v>5998400.1041470822</v>
      </c>
      <c r="H31" s="3">
        <v>622832364.29762244</v>
      </c>
    </row>
    <row r="32" spans="1:8" x14ac:dyDescent="0.3">
      <c r="A32" s="2">
        <v>1</v>
      </c>
      <c r="B32" s="2" t="s">
        <v>11</v>
      </c>
      <c r="C32" s="2" t="s">
        <v>10</v>
      </c>
      <c r="D32" s="3">
        <v>723905856.09535301</v>
      </c>
      <c r="E32" s="3">
        <v>3577475487.7976208</v>
      </c>
      <c r="F32" s="3">
        <v>76849974.981794789</v>
      </c>
      <c r="G32" s="4">
        <v>2313599.9996213829</v>
      </c>
      <c r="H32" s="3">
        <v>335375778.1105265</v>
      </c>
    </row>
    <row r="33" spans="1:8" x14ac:dyDescent="0.3">
      <c r="A33" s="2">
        <v>2</v>
      </c>
      <c r="B33" s="2" t="s">
        <v>11</v>
      </c>
      <c r="C33" s="2" t="s">
        <v>10</v>
      </c>
      <c r="D33" s="3">
        <v>863275634.85874271</v>
      </c>
      <c r="E33" s="3">
        <v>4353792321.2434425</v>
      </c>
      <c r="F33" s="3">
        <v>120495914.4012025</v>
      </c>
      <c r="G33" s="4">
        <v>3684400.0410190332</v>
      </c>
      <c r="H33" s="3">
        <v>395127300.81343907</v>
      </c>
    </row>
    <row r="34" spans="1:8" x14ac:dyDescent="0.3">
      <c r="A34" s="2">
        <v>3</v>
      </c>
      <c r="B34" s="2" t="s">
        <v>11</v>
      </c>
      <c r="C34" s="2" t="s">
        <v>10</v>
      </c>
      <c r="D34" s="3">
        <v>859643550.97576451</v>
      </c>
      <c r="E34" s="3">
        <v>4265199363.0107431</v>
      </c>
      <c r="F34" s="3">
        <v>149593454.9346953</v>
      </c>
      <c r="G34" s="4">
        <v>4530500.078317496</v>
      </c>
      <c r="H34" s="3">
        <v>376777230.73349088</v>
      </c>
    </row>
    <row r="35" spans="1:8" x14ac:dyDescent="0.3">
      <c r="A35" s="2">
        <v>4</v>
      </c>
      <c r="B35" s="2" t="s">
        <v>11</v>
      </c>
      <c r="C35" s="2" t="s">
        <v>10</v>
      </c>
      <c r="D35" s="3">
        <v>946737496.39461946</v>
      </c>
      <c r="E35" s="3">
        <v>4535546368.4688044</v>
      </c>
      <c r="F35" s="3">
        <v>189745441.7220901</v>
      </c>
      <c r="G35" s="4">
        <v>5632600.0724664452</v>
      </c>
      <c r="H35" s="3">
        <v>385978906.72941017</v>
      </c>
    </row>
    <row r="36" spans="1:8" x14ac:dyDescent="0.3">
      <c r="A36" s="2">
        <v>5</v>
      </c>
      <c r="B36" s="2" t="s">
        <v>11</v>
      </c>
      <c r="C36" s="2" t="s">
        <v>10</v>
      </c>
      <c r="D36" s="3">
        <v>840927500.25814772</v>
      </c>
      <c r="E36" s="3">
        <v>4332965745.7052774</v>
      </c>
      <c r="F36" s="3">
        <v>163106687.05012071</v>
      </c>
      <c r="G36" s="4">
        <v>4957100.0692578778</v>
      </c>
      <c r="H36" s="3">
        <v>381640116.63505989</v>
      </c>
    </row>
    <row r="37" spans="1:8" x14ac:dyDescent="0.3">
      <c r="A37" s="2">
        <v>6</v>
      </c>
      <c r="B37" s="2" t="s">
        <v>11</v>
      </c>
      <c r="C37" s="2" t="s">
        <v>10</v>
      </c>
      <c r="D37" s="3">
        <v>910415460.44452906</v>
      </c>
      <c r="E37" s="3">
        <v>4370125852.6179523</v>
      </c>
      <c r="F37" s="3">
        <v>193793173.27674669</v>
      </c>
      <c r="G37" s="4">
        <v>5825800.0042538652</v>
      </c>
      <c r="H37" s="3">
        <v>352526731.13546121</v>
      </c>
    </row>
    <row r="38" spans="1:8" x14ac:dyDescent="0.3">
      <c r="A38" s="2">
        <v>7</v>
      </c>
      <c r="B38" s="2" t="s">
        <v>11</v>
      </c>
      <c r="C38" s="2" t="s">
        <v>10</v>
      </c>
      <c r="D38" s="3">
        <v>1124367088.7750571</v>
      </c>
      <c r="E38" s="3">
        <v>5266334674.3442183</v>
      </c>
      <c r="F38" s="3">
        <v>158294525.02101699</v>
      </c>
      <c r="G38" s="4">
        <v>4975499.9987539984</v>
      </c>
      <c r="H38" s="3">
        <v>439821460.31879401</v>
      </c>
    </row>
    <row r="39" spans="1:8" x14ac:dyDescent="0.3">
      <c r="A39" s="2">
        <v>8</v>
      </c>
      <c r="B39" s="2" t="s">
        <v>11</v>
      </c>
      <c r="C39" s="2" t="s">
        <v>10</v>
      </c>
      <c r="D39" s="3">
        <v>1035583066.91325</v>
      </c>
      <c r="E39" s="3">
        <v>5500401507.0384731</v>
      </c>
      <c r="F39" s="3">
        <v>237494562.3693234</v>
      </c>
      <c r="G39" s="4">
        <v>7283600.1799570583</v>
      </c>
      <c r="H39" s="3">
        <v>481922931.24138492</v>
      </c>
    </row>
    <row r="40" spans="1:8" x14ac:dyDescent="0.3">
      <c r="A40" s="2">
        <v>9</v>
      </c>
      <c r="B40" s="2" t="s">
        <v>11</v>
      </c>
      <c r="C40" s="2" t="s">
        <v>10</v>
      </c>
      <c r="D40" s="3">
        <v>1222011207.3279209</v>
      </c>
      <c r="E40" s="3">
        <v>5973227669.4193449</v>
      </c>
      <c r="F40" s="3">
        <v>337344407.48001498</v>
      </c>
      <c r="G40" s="4">
        <v>10204600.15765856</v>
      </c>
      <c r="H40" s="3">
        <v>479696724.1242556</v>
      </c>
    </row>
    <row r="41" spans="1:8" x14ac:dyDescent="0.3">
      <c r="A41" s="2">
        <v>10</v>
      </c>
      <c r="B41" s="2" t="s">
        <v>11</v>
      </c>
      <c r="C41" s="2" t="s">
        <v>10</v>
      </c>
      <c r="D41" s="3">
        <v>1234001354.316493</v>
      </c>
      <c r="E41" s="3">
        <v>6220179884.8890924</v>
      </c>
      <c r="F41" s="3">
        <v>299934447.82366288</v>
      </c>
      <c r="G41" s="4">
        <v>9221400.0391317792</v>
      </c>
      <c r="H41" s="3">
        <v>545547603.14984643</v>
      </c>
    </row>
    <row r="42" spans="1:8" x14ac:dyDescent="0.3">
      <c r="A42" s="2">
        <v>1</v>
      </c>
      <c r="B42" s="2" t="s">
        <v>12</v>
      </c>
      <c r="C42" s="2" t="s">
        <v>9</v>
      </c>
      <c r="D42" s="3">
        <v>787260268.00354755</v>
      </c>
      <c r="E42" s="3">
        <v>3650116724.4665022</v>
      </c>
      <c r="F42" s="3">
        <v>55263906.857923687</v>
      </c>
      <c r="G42" s="4">
        <v>1808800.1235281699</v>
      </c>
      <c r="H42" s="3">
        <v>378344403.00995898</v>
      </c>
    </row>
    <row r="43" spans="1:8" x14ac:dyDescent="0.3">
      <c r="A43" s="2">
        <v>2</v>
      </c>
      <c r="B43" s="2" t="s">
        <v>12</v>
      </c>
      <c r="C43" s="2" t="s">
        <v>9</v>
      </c>
      <c r="D43" s="3">
        <v>936893906.3501792</v>
      </c>
      <c r="E43" s="3">
        <v>4417545855.5771036</v>
      </c>
      <c r="F43" s="3">
        <v>125788607.5074662</v>
      </c>
      <c r="G43" s="4">
        <v>4077600.098079857</v>
      </c>
      <c r="H43" s="3">
        <v>433603871.52734047</v>
      </c>
    </row>
    <row r="44" spans="1:8" x14ac:dyDescent="0.3">
      <c r="A44" s="2">
        <v>3</v>
      </c>
      <c r="B44" s="2" t="s">
        <v>12</v>
      </c>
      <c r="C44" s="2" t="s">
        <v>9</v>
      </c>
      <c r="D44" s="3">
        <v>944975415.564394</v>
      </c>
      <c r="E44" s="3">
        <v>4380084711.1672478</v>
      </c>
      <c r="F44" s="3">
        <v>147368456.26640159</v>
      </c>
      <c r="G44" s="4">
        <v>4715199.9999999981</v>
      </c>
      <c r="H44" s="3">
        <v>448438289.72124249</v>
      </c>
    </row>
    <row r="45" spans="1:8" x14ac:dyDescent="0.3">
      <c r="A45" s="2">
        <v>4</v>
      </c>
      <c r="B45" s="2" t="s">
        <v>12</v>
      </c>
      <c r="C45" s="2" t="s">
        <v>9</v>
      </c>
      <c r="D45" s="3">
        <v>1011259501.276971</v>
      </c>
      <c r="E45" s="3">
        <v>4615059377.2129765</v>
      </c>
      <c r="F45" s="3">
        <v>220590634.22967181</v>
      </c>
      <c r="G45" s="4">
        <v>6924800.0109051159</v>
      </c>
      <c r="H45" s="3">
        <v>435007501.98392928</v>
      </c>
    </row>
    <row r="46" spans="1:8" x14ac:dyDescent="0.3">
      <c r="A46" s="2">
        <v>5</v>
      </c>
      <c r="B46" s="2" t="s">
        <v>12</v>
      </c>
      <c r="C46" s="2" t="s">
        <v>9</v>
      </c>
      <c r="D46" s="3">
        <v>917039886.46652484</v>
      </c>
      <c r="E46" s="3">
        <v>4426184749.9103899</v>
      </c>
      <c r="F46" s="3">
        <v>174927259.36646229</v>
      </c>
      <c r="G46" s="4">
        <v>5563200.0588229792</v>
      </c>
      <c r="H46" s="3">
        <v>457423866.18591797</v>
      </c>
    </row>
    <row r="47" spans="1:8" x14ac:dyDescent="0.3">
      <c r="A47" s="2">
        <v>6</v>
      </c>
      <c r="B47" s="2" t="s">
        <v>12</v>
      </c>
      <c r="C47" s="2" t="s">
        <v>9</v>
      </c>
      <c r="D47" s="3">
        <v>1002316769.048273</v>
      </c>
      <c r="E47" s="3">
        <v>4464948211.5502357</v>
      </c>
      <c r="F47" s="3">
        <v>160016013.3015148</v>
      </c>
      <c r="G47" s="4">
        <v>5180000.06364353</v>
      </c>
      <c r="H47" s="3">
        <v>423014664.66942191</v>
      </c>
    </row>
    <row r="48" spans="1:8" x14ac:dyDescent="0.3">
      <c r="A48" s="2">
        <v>7</v>
      </c>
      <c r="B48" s="2" t="s">
        <v>12</v>
      </c>
      <c r="C48" s="2" t="s">
        <v>9</v>
      </c>
      <c r="D48" s="3">
        <v>1219303618.7173729</v>
      </c>
      <c r="E48" s="3">
        <v>5428483247.5982161</v>
      </c>
      <c r="F48" s="3">
        <v>195099563.22073081</v>
      </c>
      <c r="G48" s="4">
        <v>6377600.0576488329</v>
      </c>
      <c r="H48" s="3">
        <v>541389170.71662617</v>
      </c>
    </row>
    <row r="49" spans="1:8" x14ac:dyDescent="0.3">
      <c r="A49" s="2">
        <v>8</v>
      </c>
      <c r="B49" s="2" t="s">
        <v>12</v>
      </c>
      <c r="C49" s="2" t="s">
        <v>9</v>
      </c>
      <c r="D49" s="3">
        <v>1143172614.3942001</v>
      </c>
      <c r="E49" s="3">
        <v>5629464735.3241987</v>
      </c>
      <c r="F49" s="3">
        <v>281736168.51248127</v>
      </c>
      <c r="G49" s="4">
        <v>9008800.1446273401</v>
      </c>
      <c r="H49" s="3">
        <v>563942019.1400609</v>
      </c>
    </row>
    <row r="50" spans="1:8" x14ac:dyDescent="0.3">
      <c r="A50" s="2">
        <v>9</v>
      </c>
      <c r="B50" s="2" t="s">
        <v>12</v>
      </c>
      <c r="C50" s="2" t="s">
        <v>9</v>
      </c>
      <c r="D50" s="3">
        <v>1346338775.1751261</v>
      </c>
      <c r="E50" s="3">
        <v>6096993477.6644907</v>
      </c>
      <c r="F50" s="3">
        <v>300706266.67631608</v>
      </c>
      <c r="G50" s="4">
        <v>9798000.1256428938</v>
      </c>
      <c r="H50" s="3">
        <v>585078845.87937367</v>
      </c>
    </row>
    <row r="51" spans="1:8" x14ac:dyDescent="0.3">
      <c r="A51" s="2">
        <v>10</v>
      </c>
      <c r="B51" s="2" t="s">
        <v>12</v>
      </c>
      <c r="C51" s="2" t="s">
        <v>9</v>
      </c>
      <c r="D51" s="3">
        <v>1346592078.8725369</v>
      </c>
      <c r="E51" s="3">
        <v>6395164427.8901834</v>
      </c>
      <c r="F51" s="3">
        <v>347769396.51633132</v>
      </c>
      <c r="G51" s="4">
        <v>11238400.16325693</v>
      </c>
      <c r="H51" s="3">
        <v>650632111.44310999</v>
      </c>
    </row>
    <row r="52" spans="1:8" x14ac:dyDescent="0.3">
      <c r="A52" s="2">
        <v>1</v>
      </c>
      <c r="B52" s="2" t="s">
        <v>12</v>
      </c>
      <c r="C52" s="2" t="s">
        <v>10</v>
      </c>
      <c r="D52" s="3">
        <v>720993284.50847852</v>
      </c>
      <c r="E52" s="3">
        <v>3628817399.281548</v>
      </c>
      <c r="F52" s="3">
        <v>115152297.81084581</v>
      </c>
      <c r="G52" s="4">
        <v>3550800.0039998228</v>
      </c>
      <c r="H52" s="3">
        <v>337213220.02282768</v>
      </c>
    </row>
    <row r="53" spans="1:8" x14ac:dyDescent="0.3">
      <c r="A53" s="2">
        <v>2</v>
      </c>
      <c r="B53" s="2" t="s">
        <v>12</v>
      </c>
      <c r="C53" s="2" t="s">
        <v>10</v>
      </c>
      <c r="D53" s="3">
        <v>871468742.7728256</v>
      </c>
      <c r="E53" s="3">
        <v>4432416476.485775</v>
      </c>
      <c r="F53" s="3">
        <v>197843718.21382391</v>
      </c>
      <c r="G53" s="4">
        <v>6161000.0078947563</v>
      </c>
      <c r="H53" s="3">
        <v>402384633.9660573</v>
      </c>
    </row>
    <row r="54" spans="1:8" x14ac:dyDescent="0.3">
      <c r="A54" s="2">
        <v>3</v>
      </c>
      <c r="B54" s="2" t="s">
        <v>12</v>
      </c>
      <c r="C54" s="2" t="s">
        <v>10</v>
      </c>
      <c r="D54" s="3">
        <v>877314149.97192192</v>
      </c>
      <c r="E54" s="3">
        <v>4366681663.7801085</v>
      </c>
      <c r="F54" s="3">
        <v>227691230.69268081</v>
      </c>
      <c r="G54" s="4">
        <v>7059500.0267605381</v>
      </c>
      <c r="H54" s="3">
        <v>385966226.0582732</v>
      </c>
    </row>
    <row r="55" spans="1:8" x14ac:dyDescent="0.3">
      <c r="A55" s="2">
        <v>4</v>
      </c>
      <c r="B55" s="2" t="s">
        <v>12</v>
      </c>
      <c r="C55" s="2" t="s">
        <v>10</v>
      </c>
      <c r="D55" s="3">
        <v>960053072.68126774</v>
      </c>
      <c r="E55" s="3">
        <v>4652806277.6176891</v>
      </c>
      <c r="F55" s="3">
        <v>298670065.58819562</v>
      </c>
      <c r="G55" s="4">
        <v>9097900.0331337173</v>
      </c>
      <c r="H55" s="3">
        <v>400026730.02734172</v>
      </c>
    </row>
    <row r="56" spans="1:8" x14ac:dyDescent="0.3">
      <c r="A56" s="2">
        <v>5</v>
      </c>
      <c r="B56" s="2" t="s">
        <v>12</v>
      </c>
      <c r="C56" s="2" t="s">
        <v>10</v>
      </c>
      <c r="D56" s="3">
        <v>852776003.97613347</v>
      </c>
      <c r="E56" s="3">
        <v>4483233491.8156815</v>
      </c>
      <c r="F56" s="3">
        <v>297361012.71710253</v>
      </c>
      <c r="G56" s="4">
        <v>9089800.0056125317</v>
      </c>
      <c r="H56" s="3">
        <v>392598069.36458838</v>
      </c>
    </row>
    <row r="57" spans="1:8" x14ac:dyDescent="0.3">
      <c r="A57" s="2">
        <v>6</v>
      </c>
      <c r="B57" s="2" t="s">
        <v>12</v>
      </c>
      <c r="C57" s="2" t="s">
        <v>10</v>
      </c>
      <c r="D57" s="3">
        <v>921342802.30855501</v>
      </c>
      <c r="E57" s="3">
        <v>4465883445.3518276</v>
      </c>
      <c r="F57" s="3">
        <v>281176682.81588542</v>
      </c>
      <c r="G57" s="4">
        <v>8737100.0273426101</v>
      </c>
      <c r="H57" s="3">
        <v>347663049.41928577</v>
      </c>
    </row>
    <row r="58" spans="1:8" x14ac:dyDescent="0.3">
      <c r="A58" s="2">
        <v>7</v>
      </c>
      <c r="B58" s="2" t="s">
        <v>12</v>
      </c>
      <c r="C58" s="2" t="s">
        <v>10</v>
      </c>
      <c r="D58" s="3">
        <v>1137096169.9457281</v>
      </c>
      <c r="E58" s="3">
        <v>5348250432.5021706</v>
      </c>
      <c r="F58" s="3">
        <v>241346741.5109756</v>
      </c>
      <c r="G58" s="4">
        <v>7690600.0188167896</v>
      </c>
      <c r="H58" s="3">
        <v>446928419.44013542</v>
      </c>
    </row>
    <row r="59" spans="1:8" x14ac:dyDescent="0.3">
      <c r="A59" s="2">
        <v>8</v>
      </c>
      <c r="B59" s="2" t="s">
        <v>12</v>
      </c>
      <c r="C59" s="2" t="s">
        <v>10</v>
      </c>
      <c r="D59" s="3">
        <v>1056315835.646277</v>
      </c>
      <c r="E59" s="3">
        <v>5677000195.5754566</v>
      </c>
      <c r="F59" s="3">
        <v>416383690.44661069</v>
      </c>
      <c r="G59" s="4">
        <v>12882500.150310321</v>
      </c>
      <c r="H59" s="3">
        <v>498158985.22849423</v>
      </c>
    </row>
    <row r="60" spans="1:8" x14ac:dyDescent="0.3">
      <c r="A60" s="2">
        <v>9</v>
      </c>
      <c r="B60" s="2" t="s">
        <v>12</v>
      </c>
      <c r="C60" s="2" t="s">
        <v>10</v>
      </c>
      <c r="D60" s="3">
        <v>1258182777.274801</v>
      </c>
      <c r="E60" s="3">
        <v>6121119947.3972254</v>
      </c>
      <c r="F60" s="3">
        <v>461793850.14152563</v>
      </c>
      <c r="G60" s="4">
        <v>14497600.005307131</v>
      </c>
      <c r="H60" s="3">
        <v>506179708.56388628</v>
      </c>
    </row>
    <row r="61" spans="1:8" x14ac:dyDescent="0.3">
      <c r="A61" s="2">
        <v>10</v>
      </c>
      <c r="B61" s="2" t="s">
        <v>12</v>
      </c>
      <c r="C61" s="2" t="s">
        <v>10</v>
      </c>
      <c r="D61" s="3">
        <v>1252097169.4986351</v>
      </c>
      <c r="E61" s="3">
        <v>6416761989.1665525</v>
      </c>
      <c r="F61" s="3">
        <v>502739621.64334673</v>
      </c>
      <c r="G61" s="4">
        <v>15698600.0725944</v>
      </c>
      <c r="H61" s="3">
        <v>550538390.75630271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showGridLines="0" tabSelected="1" workbookViewId="0"/>
  </sheetViews>
  <sheetFormatPr defaultRowHeight="13.5" x14ac:dyDescent="0.3"/>
  <cols>
    <col min="1" max="1" width="18.265625" customWidth="1"/>
    <col min="2" max="2" width="17" customWidth="1"/>
    <col min="3" max="3" width="26" customWidth="1"/>
    <col min="4" max="4" width="27" customWidth="1"/>
    <col min="5" max="5" width="37.9296875" customWidth="1"/>
    <col min="6" max="6" width="38" customWidth="1"/>
    <col min="7" max="7" width="28" customWidth="1"/>
  </cols>
  <sheetData>
    <row r="1" spans="1:7" ht="32" customHeight="1" x14ac:dyDescent="0.3">
      <c r="A1" s="1" t="s">
        <v>1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 s="2" t="s">
        <v>8</v>
      </c>
      <c r="B2" s="2" t="s">
        <v>10</v>
      </c>
      <c r="C2" s="3">
        <f>IFERROR(SUMIFS(instance_results!$D$2:$D$61,instance_results!$B$2:$B$61,A2,instance_results!$C$2:$C$61,B2)/COUNTIFS(instance_results!$B$2:$B$61,A2,instance_results!$C$2:$C$61,B2),0)</f>
        <v>963296167.99073064</v>
      </c>
      <c r="D2" s="3">
        <f>IFERROR(SUMIFS(instance_results!$E$2:$E$61,instance_results!$B$2:$B$61,A2,instance_results!$C$2:$C$61,B2)/COUNTIFS(instance_results!$B$2:$B$61,A2,instance_results!$C$2:$C$61,B2),0)</f>
        <v>4759245690.4718552</v>
      </c>
      <c r="E2" s="3">
        <f>IFERROR(SUMIFS(instance_results!$F$2:$F$61,instance_results!$B$2:$B$61,A2,instance_results!$C$2:$C$61,B2)/COUNTIFS(instance_results!$B$2:$B$61,A2,instance_results!$C$2:$C$61,B2),0)</f>
        <v>128671965.21134663</v>
      </c>
      <c r="F2" s="4">
        <f>IFERROR(SUMIFS(instance_results!$G$2:$G$61,instance_results!$B$2:$B$61,A2,instance_results!$C$2:$C$61,B2)/COUNTIFS(instance_results!$B$2:$B$61,A2,instance_results!$C$2:$C$61,B2),0)</f>
        <v>3813710.0374441245</v>
      </c>
      <c r="G2" s="3">
        <f>IFERROR(SUMIFS(instance_results!$H$2:$H$61,instance_results!$B$2:$B$61,A2,instance_results!$C$2:$C$61,B2)/COUNTIFS(instance_results!$B$2:$B$61,A2,instance_results!$C$2:$C$61,B2),0)</f>
        <v>412441752.6929993</v>
      </c>
    </row>
    <row r="3" spans="1:7" x14ac:dyDescent="0.3">
      <c r="A3" s="2" t="s">
        <v>8</v>
      </c>
      <c r="B3" s="2" t="s">
        <v>9</v>
      </c>
      <c r="C3" s="3">
        <f>IFERROR(SUMIFS(instance_results!$D$2:$D$61,instance_results!$B$2:$B$61,A3,instance_results!$C$2:$C$61,B3)/COUNTIFS(instance_results!$B$2:$B$61,A3,instance_results!$C$2:$C$61,B3),0)</f>
        <v>1051575795.2239254</v>
      </c>
      <c r="D3" s="3">
        <f>IFERROR(SUMIFS(instance_results!$E$2:$E$61,instance_results!$B$2:$B$61,A3,instance_results!$C$2:$C$61,B3)/COUNTIFS(instance_results!$B$2:$B$61,A3,instance_results!$C$2:$C$61,B3),0)</f>
        <v>4821264616.9875212</v>
      </c>
      <c r="E3" s="3">
        <f>IFERROR(SUMIFS(instance_results!$F$2:$F$61,instance_results!$B$2:$B$61,A3,instance_results!$C$2:$C$61,B3)/COUNTIFS(instance_results!$B$2:$B$61,A3,instance_results!$C$2:$C$61,B3),0)</f>
        <v>57398582.114670254</v>
      </c>
      <c r="F3" s="4">
        <f>IFERROR(SUMIFS(instance_results!$G$2:$G$61,instance_results!$B$2:$B$61,A3,instance_results!$C$2:$C$61,B3)/COUNTIFS(instance_results!$B$2:$B$61,A3,instance_results!$C$2:$C$61,B3),0)</f>
        <v>1811400.060604814</v>
      </c>
      <c r="G3" s="3">
        <f>IFERROR(SUMIFS(instance_results!$H$2:$H$61,instance_results!$B$2:$B$61,A3,instance_results!$C$2:$C$61,B3)/COUNTIFS(instance_results!$B$2:$B$61,A3,instance_results!$C$2:$C$61,B3),0)</f>
        <v>487819908.98397046</v>
      </c>
    </row>
    <row r="4" spans="1:7" x14ac:dyDescent="0.3">
      <c r="A4" s="2" t="s">
        <v>11</v>
      </c>
      <c r="B4" s="2" t="s">
        <v>10</v>
      </c>
      <c r="C4" s="3">
        <f>IFERROR(SUMIFS(instance_results!$D$2:$D$61,instance_results!$B$2:$B$61,A4,instance_results!$C$2:$C$61,B4)/COUNTIFS(instance_results!$B$2:$B$61,A4,instance_results!$C$2:$C$61,B4),0)</f>
        <v>976086821.63598788</v>
      </c>
      <c r="D4" s="3">
        <f>IFERROR(SUMIFS(instance_results!$E$2:$E$61,instance_results!$B$2:$B$61,A4,instance_results!$C$2:$C$61,B4)/COUNTIFS(instance_results!$B$2:$B$61,A4,instance_results!$C$2:$C$61,B4),0)</f>
        <v>4839524887.4534969</v>
      </c>
      <c r="E4" s="3">
        <f>IFERROR(SUMIFS(instance_results!$F$2:$F$61,instance_results!$B$2:$B$61,A4,instance_results!$C$2:$C$61,B4)/COUNTIFS(instance_results!$B$2:$B$61,A4,instance_results!$C$2:$C$61,B4),0)</f>
        <v>192665258.90606683</v>
      </c>
      <c r="F4" s="4">
        <f>IFERROR(SUMIFS(instance_results!$G$2:$G$61,instance_results!$B$2:$B$61,A4,instance_results!$C$2:$C$61,B4)/COUNTIFS(instance_results!$B$2:$B$61,A4,instance_results!$C$2:$C$61,B4),0)</f>
        <v>5862910.0640437501</v>
      </c>
      <c r="G4" s="3">
        <f>IFERROR(SUMIFS(instance_results!$H$2:$H$61,instance_results!$B$2:$B$61,A4,instance_results!$C$2:$C$61,B4)/COUNTIFS(instance_results!$B$2:$B$61,A4,instance_results!$C$2:$C$61,B4),0)</f>
        <v>417441478.29916692</v>
      </c>
    </row>
    <row r="5" spans="1:7" x14ac:dyDescent="0.3">
      <c r="A5" s="2" t="s">
        <v>11</v>
      </c>
      <c r="B5" s="2" t="s">
        <v>9</v>
      </c>
      <c r="C5" s="3">
        <f>IFERROR(SUMIFS(instance_results!$D$2:$D$61,instance_results!$B$2:$B$61,A5,instance_results!$C$2:$C$61,B5)/COUNTIFS(instance_results!$B$2:$B$61,A5,instance_results!$C$2:$C$61,B5),0)</f>
        <v>1059404781.1485252</v>
      </c>
      <c r="D5" s="3">
        <f>IFERROR(SUMIFS(instance_results!$E$2:$E$61,instance_results!$B$2:$B$61,A5,instance_results!$C$2:$C$61,B5)/COUNTIFS(instance_results!$B$2:$B$61,A5,instance_results!$C$2:$C$61,B5),0)</f>
        <v>4864492161.8848743</v>
      </c>
      <c r="E5" s="3">
        <f>IFERROR(SUMIFS(instance_results!$F$2:$F$61,instance_results!$B$2:$B$61,A5,instance_results!$C$2:$C$61,B5)/COUNTIFS(instance_results!$B$2:$B$61,A5,instance_results!$C$2:$C$61,B5),0)</f>
        <v>107432023.5108048</v>
      </c>
      <c r="F5" s="4">
        <f>IFERROR(SUMIFS(instance_results!$G$2:$G$61,instance_results!$B$2:$B$61,A5,instance_results!$C$2:$C$61,B5)/COUNTIFS(instance_results!$B$2:$B$61,A5,instance_results!$C$2:$C$61,B5),0)</f>
        <v>3423400.0501909601</v>
      </c>
      <c r="G5" s="3">
        <f>IFERROR(SUMIFS(instance_results!$H$2:$H$61,instance_results!$B$2:$B$61,A5,instance_results!$C$2:$C$61,B5)/COUNTIFS(instance_results!$B$2:$B$61,A5,instance_results!$C$2:$C$61,B5),0)</f>
        <v>486950994.77209264</v>
      </c>
    </row>
    <row r="6" spans="1:7" x14ac:dyDescent="0.3">
      <c r="A6" s="2" t="s">
        <v>12</v>
      </c>
      <c r="B6" s="2" t="s">
        <v>10</v>
      </c>
      <c r="C6" s="3">
        <f>IFERROR(SUMIFS(instance_results!$D$2:$D$61,instance_results!$B$2:$B$61,A6,instance_results!$C$2:$C$61,B6)/COUNTIFS(instance_results!$B$2:$B$61,A6,instance_results!$C$2:$C$61,B6),0)</f>
        <v>990764000.85846233</v>
      </c>
      <c r="D6" s="3">
        <f>IFERROR(SUMIFS(instance_results!$E$2:$E$61,instance_results!$B$2:$B$61,A6,instance_results!$C$2:$C$61,B6)/COUNTIFS(instance_results!$B$2:$B$61,A6,instance_results!$C$2:$C$61,B6),0)</f>
        <v>4959297131.8974037</v>
      </c>
      <c r="E6" s="3">
        <f>IFERROR(SUMIFS(instance_results!$F$2:$F$61,instance_results!$B$2:$B$61,A6,instance_results!$C$2:$C$61,B6)/COUNTIFS(instance_results!$B$2:$B$61,A6,instance_results!$C$2:$C$61,B6),0)</f>
        <v>304015891.15809929</v>
      </c>
      <c r="F6" s="4">
        <f>IFERROR(SUMIFS(instance_results!$G$2:$G$61,instance_results!$B$2:$B$61,A6,instance_results!$C$2:$C$61,B6)/COUNTIFS(instance_results!$B$2:$B$61,A6,instance_results!$C$2:$C$61,B6),0)</f>
        <v>9446540.0351772625</v>
      </c>
      <c r="G6" s="3">
        <f>IFERROR(SUMIFS(instance_results!$H$2:$H$61,instance_results!$B$2:$B$61,A6,instance_results!$C$2:$C$61,B6)/COUNTIFS(instance_results!$B$2:$B$61,A6,instance_results!$C$2:$C$61,B6),0)</f>
        <v>426765743.28471929</v>
      </c>
    </row>
    <row r="7" spans="1:7" x14ac:dyDescent="0.3">
      <c r="A7" s="2" t="s">
        <v>12</v>
      </c>
      <c r="B7" s="2" t="s">
        <v>9</v>
      </c>
      <c r="C7" s="3">
        <f>IFERROR(SUMIFS(instance_results!$D$2:$D$61,instance_results!$B$2:$B$61,A7,instance_results!$C$2:$C$61,B7)/COUNTIFS(instance_results!$B$2:$B$61,A7,instance_results!$C$2:$C$61,B7),0)</f>
        <v>1065515283.3869127</v>
      </c>
      <c r="D7" s="3">
        <f>IFERROR(SUMIFS(instance_results!$E$2:$E$61,instance_results!$B$2:$B$61,A7,instance_results!$C$2:$C$61,B7)/COUNTIFS(instance_results!$B$2:$B$61,A7,instance_results!$C$2:$C$61,B7),0)</f>
        <v>4950404551.836154</v>
      </c>
      <c r="E7" s="3">
        <f>IFERROR(SUMIFS(instance_results!$F$2:$F$61,instance_results!$B$2:$B$61,A7,instance_results!$C$2:$C$61,B7)/COUNTIFS(instance_results!$B$2:$B$61,A7,instance_results!$C$2:$C$61,B7),0)</f>
        <v>200926627.24552998</v>
      </c>
      <c r="F7" s="4">
        <f>IFERROR(SUMIFS(instance_results!$G$2:$G$61,instance_results!$B$2:$B$61,A7,instance_results!$C$2:$C$61,B7)/COUNTIFS(instance_results!$B$2:$B$61,A7,instance_results!$C$2:$C$61,B7),0)</f>
        <v>6469240.084615564</v>
      </c>
      <c r="G7" s="3">
        <f>IFERROR(SUMIFS(instance_results!$H$2:$H$61,instance_results!$B$2:$B$61,A7,instance_results!$C$2:$C$61,B7)/COUNTIFS(instance_results!$B$2:$B$61,A7,instance_results!$C$2:$C$61,B7),0)</f>
        <v>491687474.42769814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instance_results</vt:lpstr>
      <vt:lpstr>scenario_averages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 Jin</cp:lastModifiedBy>
  <dcterms:modified xsi:type="dcterms:W3CDTF">2026-07-31T14:09:40Z</dcterms:modified>
</cp:coreProperties>
</file>