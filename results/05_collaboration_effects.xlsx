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0DF7C173-4518-45E0-9FFC-FD8CB8630E15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instance_results" sheetId="1" r:id="rId1"/>
    <sheet name="scenario_averages" sheetId="2" r:id="rId2"/>
    <sheet name="reported_changes" sheetId="3" r:id="rId3"/>
  </sheets>
  <calcPr calcId="191029"/>
</workbook>
</file>

<file path=xl/calcChain.xml><?xml version="1.0" encoding="utf-8"?>
<calcChain xmlns="http://schemas.openxmlformats.org/spreadsheetml/2006/main">
  <c r="F3" i="2" l="1"/>
  <c r="C5" i="3" s="1"/>
  <c r="E3" i="2"/>
  <c r="C4" i="3" s="1"/>
  <c r="D3" i="2"/>
  <c r="C3" i="3" s="1"/>
  <c r="D3" i="3" s="1"/>
  <c r="C3" i="2"/>
  <c r="B3" i="2"/>
  <c r="C2" i="3" s="1"/>
  <c r="F2" i="2"/>
  <c r="B5" i="3" s="1"/>
  <c r="E2" i="2"/>
  <c r="B4" i="3" s="1"/>
  <c r="D2" i="2"/>
  <c r="B3" i="3" s="1"/>
  <c r="C2" i="2"/>
  <c r="B2" i="2"/>
  <c r="B2" i="3" s="1"/>
  <c r="D5" i="3" l="1"/>
  <c r="D4" i="3"/>
  <c r="D2" i="3"/>
</calcChain>
</file>

<file path=xl/sharedStrings.xml><?xml version="1.0" encoding="utf-8"?>
<sst xmlns="http://schemas.openxmlformats.org/spreadsheetml/2006/main" count="43" uniqueCount="22">
  <si>
    <t>instance</t>
  </si>
  <si>
    <t>scenario</t>
  </si>
  <si>
    <t>total_profit_CNY</t>
  </si>
  <si>
    <t>sales_revenue_CNY</t>
  </si>
  <si>
    <t>external_procurement_cost_CNY</t>
  </si>
  <si>
    <t>external_procurement_quantity_t</t>
  </si>
  <si>
    <t>transport_cost_CNY</t>
  </si>
  <si>
    <t>no_interplant</t>
  </si>
  <si>
    <t>full_interplant</t>
  </si>
  <si>
    <t>average_total_profit_CNY</t>
  </si>
  <si>
    <t>average_sales_revenue_CNY</t>
  </si>
  <si>
    <t>average_external_procurement_cost_CNY</t>
  </si>
  <si>
    <t>average_external_procurement_quantity_t</t>
  </si>
  <si>
    <t>average_transport_cost_CNY</t>
  </si>
  <si>
    <t>metric</t>
  </si>
  <si>
    <t>no_interplant_average</t>
  </si>
  <si>
    <t>full_interplant_average</t>
  </si>
  <si>
    <t>relative_change</t>
  </si>
  <si>
    <t>Total profit</t>
  </si>
  <si>
    <t>External purchase cost</t>
  </si>
  <si>
    <t>External purchase quantity</t>
  </si>
  <si>
    <t>Transportation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</si>
</sst>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workbookViewId="0"/>
  </sheetViews>
  <sheetFormatPr defaultRowHeight="13.5" x14ac:dyDescent="0.3"/>
  <cols>
    <col min="1" max="1" width="12" customWidth="1"/>
    <col min="2" max="2" width="39" customWidth="1"/>
    <col min="3" max="4" width="19" customWidth="1"/>
    <col min="5" max="5" width="33.6640625" customWidth="1"/>
    <col min="6" max="6" width="30" customWidth="1"/>
    <col min="7" max="7" width="20" customWidth="1"/>
  </cols>
  <sheetData>
    <row r="1" spans="1:7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3">
        <v>706179106.36478817</v>
      </c>
      <c r="D2" s="3">
        <v>3578491296.6466818</v>
      </c>
      <c r="E2" s="3">
        <v>79160621.360239863</v>
      </c>
      <c r="F2" s="4">
        <v>2391099.9999398878</v>
      </c>
      <c r="G2" s="3">
        <v>317178705.06589359</v>
      </c>
    </row>
    <row r="3" spans="1:7" x14ac:dyDescent="0.3">
      <c r="A3" s="2">
        <v>1</v>
      </c>
      <c r="B3" s="2" t="s">
        <v>8</v>
      </c>
      <c r="C3" s="3">
        <v>776572971.32981765</v>
      </c>
      <c r="D3" s="3">
        <v>3595077745.1813378</v>
      </c>
      <c r="E3" s="3">
        <v>29241387.556210201</v>
      </c>
      <c r="F3" s="4">
        <v>938800.00409995555</v>
      </c>
      <c r="G3" s="3">
        <v>376153202.75171119</v>
      </c>
    </row>
    <row r="4" spans="1:7" x14ac:dyDescent="0.3">
      <c r="A4" s="2">
        <v>2</v>
      </c>
      <c r="B4" s="2" t="s">
        <v>7</v>
      </c>
      <c r="C4" s="3">
        <v>864300475.58342385</v>
      </c>
      <c r="D4" s="3">
        <v>4362226339.855608</v>
      </c>
      <c r="E4" s="3">
        <v>123362653.7952109</v>
      </c>
      <c r="F4" s="4">
        <v>3764800.005899996</v>
      </c>
      <c r="G4" s="3">
        <v>396493263.13109708</v>
      </c>
    </row>
    <row r="5" spans="1:7" x14ac:dyDescent="0.3">
      <c r="A5" s="2">
        <v>2</v>
      </c>
      <c r="B5" s="2" t="s">
        <v>8</v>
      </c>
      <c r="C5" s="3">
        <v>929717282.96648383</v>
      </c>
      <c r="D5" s="3">
        <v>4368807526.3775368</v>
      </c>
      <c r="E5" s="3">
        <v>56633989.554182813</v>
      </c>
      <c r="F5" s="4">
        <v>1827600.0583330691</v>
      </c>
      <c r="G5" s="3">
        <v>431638924.02703142</v>
      </c>
    </row>
    <row r="6" spans="1:7" x14ac:dyDescent="0.3">
      <c r="A6" s="2">
        <v>3</v>
      </c>
      <c r="B6" s="2" t="s">
        <v>7</v>
      </c>
      <c r="C6" s="3">
        <v>862258243.79480684</v>
      </c>
      <c r="D6" s="3">
        <v>4279740711.378881</v>
      </c>
      <c r="E6" s="3">
        <v>158117361.52277681</v>
      </c>
      <c r="F6" s="4">
        <v>4770200.1209378503</v>
      </c>
      <c r="G6" s="3">
        <v>378050675.28311849</v>
      </c>
    </row>
    <row r="7" spans="1:7" x14ac:dyDescent="0.3">
      <c r="A7" s="2">
        <v>3</v>
      </c>
      <c r="B7" s="2" t="s">
        <v>8</v>
      </c>
      <c r="C7" s="3">
        <v>934525542.41978955</v>
      </c>
      <c r="D7" s="3">
        <v>4324516299.7826147</v>
      </c>
      <c r="E7" s="3">
        <v>78683021.645041913</v>
      </c>
      <c r="F7" s="4">
        <v>2505199.9900001949</v>
      </c>
      <c r="G7" s="3">
        <v>447452144.33835202</v>
      </c>
    </row>
    <row r="8" spans="1:7" x14ac:dyDescent="0.3">
      <c r="A8" s="2">
        <v>4</v>
      </c>
      <c r="B8" s="2" t="s">
        <v>7</v>
      </c>
      <c r="C8" s="3">
        <v>950330415.17806304</v>
      </c>
      <c r="D8" s="3">
        <v>4517979270.5069942</v>
      </c>
      <c r="E8" s="3">
        <v>176755409.7763235</v>
      </c>
      <c r="F8" s="4">
        <v>5280200.0364175718</v>
      </c>
      <c r="G8" s="3">
        <v>389255068.64527828</v>
      </c>
    </row>
    <row r="9" spans="1:7" x14ac:dyDescent="0.3">
      <c r="A9" s="2">
        <v>4</v>
      </c>
      <c r="B9" s="2" t="s">
        <v>8</v>
      </c>
      <c r="C9" s="3">
        <v>1000196867.1052639</v>
      </c>
      <c r="D9" s="3">
        <v>4543571954.6468267</v>
      </c>
      <c r="E9" s="3">
        <v>126182989.1422423</v>
      </c>
      <c r="F9" s="4">
        <v>3884800.1844165782</v>
      </c>
      <c r="G9" s="3">
        <v>441126391.94723409</v>
      </c>
    </row>
    <row r="10" spans="1:7" x14ac:dyDescent="0.3">
      <c r="A10" s="2">
        <v>5</v>
      </c>
      <c r="B10" s="2" t="s">
        <v>7</v>
      </c>
      <c r="C10" s="3">
        <v>839200828.98743033</v>
      </c>
      <c r="D10" s="3">
        <v>4339786654.3786278</v>
      </c>
      <c r="E10" s="3">
        <v>159890103.59685141</v>
      </c>
      <c r="F10" s="4">
        <v>4844300.136287001</v>
      </c>
      <c r="G10" s="3">
        <v>378990638.96186543</v>
      </c>
    </row>
    <row r="11" spans="1:7" x14ac:dyDescent="0.3">
      <c r="A11" s="2">
        <v>5</v>
      </c>
      <c r="B11" s="2" t="s">
        <v>8</v>
      </c>
      <c r="C11" s="3">
        <v>911069225.01355708</v>
      </c>
      <c r="D11" s="3">
        <v>4354769484.5888014</v>
      </c>
      <c r="E11" s="3">
        <v>99765228.020215034</v>
      </c>
      <c r="F11" s="4">
        <v>3133600.0655181138</v>
      </c>
      <c r="G11" s="3">
        <v>449235845.0954175</v>
      </c>
    </row>
    <row r="12" spans="1:7" x14ac:dyDescent="0.3">
      <c r="A12" s="2">
        <v>6</v>
      </c>
      <c r="B12" s="2" t="s">
        <v>7</v>
      </c>
      <c r="C12" s="3">
        <v>906743830.00053203</v>
      </c>
      <c r="D12" s="3">
        <v>4371361924.0999317</v>
      </c>
      <c r="E12" s="3">
        <v>192883073.8919099</v>
      </c>
      <c r="F12" s="4">
        <v>5836800.0341763748</v>
      </c>
      <c r="G12" s="3">
        <v>351760206.40120077</v>
      </c>
    </row>
    <row r="13" spans="1:7" x14ac:dyDescent="0.3">
      <c r="A13" s="2">
        <v>6</v>
      </c>
      <c r="B13" s="2" t="s">
        <v>8</v>
      </c>
      <c r="C13" s="3">
        <v>994481292.68445587</v>
      </c>
      <c r="D13" s="3">
        <v>4373260106.2725391</v>
      </c>
      <c r="E13" s="3">
        <v>74922542.888768002</v>
      </c>
      <c r="F13" s="4">
        <v>2390800.0964581352</v>
      </c>
      <c r="G13" s="3">
        <v>411744124.9449029</v>
      </c>
    </row>
    <row r="14" spans="1:7" x14ac:dyDescent="0.3">
      <c r="A14" s="2">
        <v>7</v>
      </c>
      <c r="B14" s="2" t="s">
        <v>7</v>
      </c>
      <c r="C14" s="3">
        <v>1128244192.983259</v>
      </c>
      <c r="D14" s="3">
        <v>5252858956.0960264</v>
      </c>
      <c r="E14" s="3">
        <v>153319984.9680368</v>
      </c>
      <c r="F14" s="4">
        <v>4861800.0676640458</v>
      </c>
      <c r="G14" s="3">
        <v>435794750.39604318</v>
      </c>
    </row>
    <row r="15" spans="1:7" x14ac:dyDescent="0.3">
      <c r="A15" s="2">
        <v>7</v>
      </c>
      <c r="B15" s="2" t="s">
        <v>8</v>
      </c>
      <c r="C15" s="3">
        <v>1214150034.5923669</v>
      </c>
      <c r="D15" s="3">
        <v>5332203070.8699455</v>
      </c>
      <c r="E15" s="3">
        <v>93737656.567133069</v>
      </c>
      <c r="F15" s="4">
        <v>3048800.026494415</v>
      </c>
      <c r="G15" s="3">
        <v>529172290.3763119</v>
      </c>
    </row>
    <row r="16" spans="1:7" x14ac:dyDescent="0.3">
      <c r="A16" s="2">
        <v>8</v>
      </c>
      <c r="B16" s="2" t="s">
        <v>7</v>
      </c>
      <c r="C16" s="3">
        <v>1042268209.247865</v>
      </c>
      <c r="D16" s="3">
        <v>5536435443.3821516</v>
      </c>
      <c r="E16" s="3">
        <v>245492390.90636891</v>
      </c>
      <c r="F16" s="4">
        <v>7500400.0056999233</v>
      </c>
      <c r="G16" s="3">
        <v>489382050.497724</v>
      </c>
    </row>
    <row r="17" spans="1:7" x14ac:dyDescent="0.3">
      <c r="A17" s="2">
        <v>8</v>
      </c>
      <c r="B17" s="2" t="s">
        <v>8</v>
      </c>
      <c r="C17" s="3">
        <v>1142931112.0478439</v>
      </c>
      <c r="D17" s="3">
        <v>5524692173.4916878</v>
      </c>
      <c r="E17" s="3">
        <v>146041684.0195373</v>
      </c>
      <c r="F17" s="4">
        <v>4648800.0893038195</v>
      </c>
      <c r="G17" s="3">
        <v>571486938.25622678</v>
      </c>
    </row>
    <row r="18" spans="1:7" x14ac:dyDescent="0.3">
      <c r="A18" s="2">
        <v>9</v>
      </c>
      <c r="B18" s="2" t="s">
        <v>7</v>
      </c>
      <c r="C18" s="3">
        <v>1221862115.0692489</v>
      </c>
      <c r="D18" s="3">
        <v>5969042974.8317747</v>
      </c>
      <c r="E18" s="3">
        <v>322262256.75718111</v>
      </c>
      <c r="F18" s="4">
        <v>9813899.9988861121</v>
      </c>
      <c r="G18" s="3">
        <v>497827897.28704762</v>
      </c>
    </row>
    <row r="19" spans="1:7" x14ac:dyDescent="0.3">
      <c r="A19" s="2">
        <v>9</v>
      </c>
      <c r="B19" s="2" t="s">
        <v>8</v>
      </c>
      <c r="C19" s="3">
        <v>1338107596.8941081</v>
      </c>
      <c r="D19" s="3">
        <v>5958692026.7660255</v>
      </c>
      <c r="E19" s="3">
        <v>170301443.1172795</v>
      </c>
      <c r="F19" s="4">
        <v>5438000.059722621</v>
      </c>
      <c r="G19" s="3">
        <v>577884026.95437753</v>
      </c>
    </row>
    <row r="20" spans="1:7" x14ac:dyDescent="0.3">
      <c r="A20" s="2">
        <v>10</v>
      </c>
      <c r="B20" s="2" t="s">
        <v>7</v>
      </c>
      <c r="C20" s="3">
        <v>1226635759.338156</v>
      </c>
      <c r="D20" s="3">
        <v>6241445381.4054499</v>
      </c>
      <c r="E20" s="3">
        <v>337455643.67419302</v>
      </c>
      <c r="F20" s="4">
        <v>10298700.173779281</v>
      </c>
      <c r="G20" s="3">
        <v>542231832.23493111</v>
      </c>
    </row>
    <row r="21" spans="1:7" x14ac:dyDescent="0.3">
      <c r="A21" s="2">
        <v>10</v>
      </c>
      <c r="B21" s="2" t="s">
        <v>8</v>
      </c>
      <c r="C21" s="3">
        <v>1339168486.7599649</v>
      </c>
      <c r="D21" s="3">
        <v>6236931491.769702</v>
      </c>
      <c r="E21" s="3">
        <v>192593537.33666229</v>
      </c>
      <c r="F21" s="4">
        <v>6158400.0152995419</v>
      </c>
      <c r="G21" s="3">
        <v>639722423.04169297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showGridLines="0" workbookViewId="0"/>
  </sheetViews>
  <sheetFormatPr defaultRowHeight="13.5" x14ac:dyDescent="0.3"/>
  <cols>
    <col min="1" max="1" width="17" customWidth="1"/>
    <col min="2" max="2" width="26" customWidth="1"/>
    <col min="3" max="3" width="27" customWidth="1"/>
    <col min="4" max="4" width="36" customWidth="1"/>
    <col min="5" max="5" width="38" customWidth="1"/>
    <col min="6" max="6" width="28" customWidth="1"/>
  </cols>
  <sheetData>
    <row r="1" spans="1:6" ht="32" customHeight="1" x14ac:dyDescent="0.3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s="2" t="s">
        <v>7</v>
      </c>
      <c r="B2" s="3">
        <f>AVERAGEIF(instance_results!$B$2:$B$21,A2,instance_results!$C$2:$C$21)</f>
        <v>974802317.65475726</v>
      </c>
      <c r="C2" s="3">
        <f>AVERAGEIF(instance_results!$B$2:$B$21,A2,instance_results!$D$2:$D$21)</f>
        <v>4844936895.2582121</v>
      </c>
      <c r="D2" s="3">
        <f>AVERAGEIF(instance_results!$B$2:$B$21,A2,instance_results!$E$2:$E$21)</f>
        <v>194869950.0249092</v>
      </c>
      <c r="E2" s="4">
        <f>AVERAGEIF(instance_results!$B$2:$B$21,A2,instance_results!$F$2:$F$21)</f>
        <v>5936220.0579688046</v>
      </c>
      <c r="F2" s="3">
        <f>AVERAGEIF(instance_results!$B$2:$B$21,A2,instance_results!$G$2:$G$21)</f>
        <v>417696508.79041994</v>
      </c>
    </row>
    <row r="3" spans="1:6" x14ac:dyDescent="0.3">
      <c r="A3" s="2" t="s">
        <v>8</v>
      </c>
      <c r="B3" s="3">
        <f>AVERAGEIF(instance_results!$B$2:$B$21,A3,instance_results!$C$2:$C$21)</f>
        <v>1058092041.1813653</v>
      </c>
      <c r="C3" s="3">
        <f>AVERAGEIF(instance_results!$B$2:$B$21,A3,instance_results!$D$2:$D$21)</f>
        <v>4861252187.9747009</v>
      </c>
      <c r="D3" s="3">
        <f>AVERAGEIF(instance_results!$B$2:$B$21,A3,instance_results!$E$2:$E$21)</f>
        <v>106810347.98472725</v>
      </c>
      <c r="E3" s="4">
        <f>AVERAGEIF(instance_results!$B$2:$B$21,A3,instance_results!$F$2:$F$21)</f>
        <v>3397480.0589646446</v>
      </c>
      <c r="F3" s="3">
        <f>AVERAGEIF(instance_results!$B$2:$B$21,A3,instance_results!$G$2:$G$21)</f>
        <v>487561631.17332584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showGridLines="0" tabSelected="1" workbookViewId="0"/>
  </sheetViews>
  <sheetFormatPr defaultRowHeight="13.5" x14ac:dyDescent="0.3"/>
  <cols>
    <col min="1" max="1" width="28" customWidth="1"/>
    <col min="2" max="2" width="23" customWidth="1"/>
    <col min="3" max="3" width="25" customWidth="1"/>
    <col min="4" max="4" width="24" customWidth="1"/>
  </cols>
  <sheetData>
    <row r="1" spans="1:4" ht="32" customHeigh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s="2" t="s">
        <v>18</v>
      </c>
      <c r="B2" s="4">
        <f>scenario_averages!B2</f>
        <v>974802317.65475726</v>
      </c>
      <c r="C2" s="4">
        <f>scenario_averages!B3</f>
        <v>1058092041.1813653</v>
      </c>
      <c r="D2" s="5">
        <f>IFERROR((C2-B2)/B2,0)</f>
        <v>8.5442681062753129E-2</v>
      </c>
    </row>
    <row r="3" spans="1:4" x14ac:dyDescent="0.3">
      <c r="A3" s="2" t="s">
        <v>19</v>
      </c>
      <c r="B3" s="4">
        <f>scenario_averages!D2</f>
        <v>194869950.0249092</v>
      </c>
      <c r="C3" s="4">
        <f>scenario_averages!D3</f>
        <v>106810347.98472725</v>
      </c>
      <c r="D3" s="5">
        <f>IFERROR((C3-B3)/B3,0)</f>
        <v>-0.45188907796674527</v>
      </c>
    </row>
    <row r="4" spans="1:4" x14ac:dyDescent="0.3">
      <c r="A4" s="2" t="s">
        <v>20</v>
      </c>
      <c r="B4" s="4">
        <f>scenario_averages!E2</f>
        <v>5936220.0579688046</v>
      </c>
      <c r="C4" s="4">
        <f>scenario_averages!E3</f>
        <v>3397480.0589646446</v>
      </c>
      <c r="D4" s="5">
        <f>IFERROR((C4-B4)/B4,0)</f>
        <v>-0.42766945534577105</v>
      </c>
    </row>
    <row r="5" spans="1:4" x14ac:dyDescent="0.3">
      <c r="A5" s="2" t="s">
        <v>21</v>
      </c>
      <c r="B5" s="4">
        <f>scenario_averages!F2</f>
        <v>417696508.79041994</v>
      </c>
      <c r="C5" s="4">
        <f>scenario_averages!F3</f>
        <v>487561631.17332584</v>
      </c>
      <c r="D5" s="5">
        <f>IFERROR((C5-B5)/B5,0)</f>
        <v>0.16726288324799207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instance_results</vt:lpstr>
      <vt:lpstr>scenario_averages</vt:lpstr>
      <vt:lpstr>reported_changes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2026-07-31T14:09:29Z</dcterms:modified>
</cp:coreProperties>
</file>