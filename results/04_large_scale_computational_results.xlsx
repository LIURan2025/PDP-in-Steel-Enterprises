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ocument\phd horizontal topic\宝钢研究资料\多基地生产分工协同\code\在线分享文件\paper_shared_data\results\"/>
    </mc:Choice>
  </mc:AlternateContent>
  <xr:revisionPtr revIDLastSave="0" documentId="13_ncr:1_{5E5E9FF3-AAE0-4E4D-85A2-087F7EA6D9C5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I12" i="1" l="1"/>
  <c r="H12" i="1"/>
  <c r="G12" i="1"/>
  <c r="F12" i="1"/>
  <c r="E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K2" i="1"/>
  <c r="J2" i="1"/>
  <c r="J12" i="1" s="1"/>
  <c r="K12" i="1" l="1"/>
</calcChain>
</file>

<file path=xl/sharedStrings.xml><?xml version="1.0" encoding="utf-8"?>
<sst xmlns="http://schemas.openxmlformats.org/spreadsheetml/2006/main" count="12" uniqueCount="12">
  <si>
    <t>instance</t>
  </si>
  <si>
    <t>products</t>
  </si>
  <si>
    <t>DCS</t>
  </si>
  <si>
    <t>orders</t>
  </si>
  <si>
    <t>FO_objective_CNY</t>
  </si>
  <si>
    <t>Wang_objective_CNY</t>
  </si>
  <si>
    <t>SPT_objective_CNY</t>
  </si>
  <si>
    <t>shortest_distance_objective_CNY</t>
  </si>
  <si>
    <t>minimum_cost_objective_CNY</t>
  </si>
  <si>
    <t>Wang_gap_to_FO</t>
  </si>
  <si>
    <t>best_rule_gap_to_FO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</si>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</sst>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</font>
    <font>
      <b/>
      <sz val="10"/>
      <color rgb="FFFFFFFF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3" fontId="2" fillId="0" borderId="1" xfId="0" applyNumberFormat="1" applyFont="1" applyBorder="1" applyAlignment="1">
      <alignment vertical="top" wrapText="1"/>
    </xf>
    <xf numFmtId="10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4" fontId="2" fillId="0" borderId="1" xfId="0" applyNumberFormat="1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showGridLines="0" tabSelected="1" workbookViewId="0"/>
  </sheetViews>
  <sheetFormatPr defaultRowHeight="13.5" x14ac:dyDescent="0.3"/>
  <cols>
    <col min="1" max="1" width="12.86328125" customWidth="1"/>
    <col min="2" max="2" width="13.33203125" customWidth="1"/>
    <col min="3" max="3" width="9.33203125" customWidth="1"/>
    <col min="4" max="4" width="11.19921875" customWidth="1"/>
    <col min="5" max="5" width="18.86328125" customWidth="1"/>
    <col min="6" max="6" width="21.3984375" customWidth="1"/>
    <col min="7" max="7" width="20" customWidth="1"/>
    <col min="8" max="8" width="32.6640625" customWidth="1"/>
    <col min="9" max="9" width="30.19921875" customWidth="1"/>
    <col min="10" max="10" width="21.33203125" customWidth="1"/>
    <col min="11" max="11" width="24.73046875" customWidth="1"/>
  </cols>
  <sheetData>
    <row r="1" spans="1:11" ht="3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11</v>
      </c>
      <c r="B2" s="2">
        <v>300</v>
      </c>
      <c r="C2" s="2">
        <v>40</v>
      </c>
      <c r="D2" s="2">
        <v>2200</v>
      </c>
      <c r="E2" s="3">
        <v>2686600000</v>
      </c>
      <c r="F2" s="3">
        <v>2016221878.6530409</v>
      </c>
      <c r="G2" s="3">
        <v>1948013921.50754</v>
      </c>
      <c r="H2" s="3">
        <v>2145405450.6715291</v>
      </c>
      <c r="I2" s="3">
        <v>2166221105.1948199</v>
      </c>
      <c r="J2" s="4">
        <f t="shared" ref="J2:J11" si="0">IFERROR((E2-F2)/E2,0)</f>
        <v>0.24952658428756017</v>
      </c>
      <c r="K2" s="4">
        <f t="shared" ref="K2:K11" si="1">IFERROR((E2-MAX(G2:I2))/E2,0)</f>
        <v>0.19369422124811289</v>
      </c>
    </row>
    <row r="3" spans="1:11" x14ac:dyDescent="0.3">
      <c r="A3" s="2">
        <v>12</v>
      </c>
      <c r="B3" s="2">
        <v>350</v>
      </c>
      <c r="C3" s="2">
        <v>40</v>
      </c>
      <c r="D3" s="2">
        <v>2400</v>
      </c>
      <c r="E3" s="3">
        <v>2902700000</v>
      </c>
      <c r="F3" s="3">
        <v>1798516662.750982</v>
      </c>
      <c r="G3" s="3">
        <v>1899464070.763211</v>
      </c>
      <c r="H3" s="3">
        <v>2293529614.302362</v>
      </c>
      <c r="I3" s="3">
        <v>2455223266.8161111</v>
      </c>
      <c r="J3" s="4">
        <f t="shared" si="0"/>
        <v>0.380398710596692</v>
      </c>
      <c r="K3" s="4">
        <f t="shared" si="1"/>
        <v>0.15415879463392321</v>
      </c>
    </row>
    <row r="4" spans="1:11" x14ac:dyDescent="0.3">
      <c r="A4" s="2">
        <v>13</v>
      </c>
      <c r="B4" s="2">
        <v>400</v>
      </c>
      <c r="C4" s="2">
        <v>40</v>
      </c>
      <c r="D4" s="2">
        <v>2400</v>
      </c>
      <c r="E4" s="3">
        <v>3050900000</v>
      </c>
      <c r="F4" s="3">
        <v>1923155879.3449321</v>
      </c>
      <c r="G4" s="3">
        <v>1979514886.4878311</v>
      </c>
      <c r="H4" s="3">
        <v>2541348446.252665</v>
      </c>
      <c r="I4" s="3">
        <v>2478779554.478653</v>
      </c>
      <c r="J4" s="4">
        <f t="shared" si="0"/>
        <v>0.3696430956947353</v>
      </c>
      <c r="K4" s="4">
        <f t="shared" si="1"/>
        <v>0.16701679955007864</v>
      </c>
    </row>
    <row r="5" spans="1:11" x14ac:dyDescent="0.3">
      <c r="A5" s="2">
        <v>14</v>
      </c>
      <c r="B5" s="2">
        <v>450</v>
      </c>
      <c r="C5" s="2">
        <v>40</v>
      </c>
      <c r="D5" s="2">
        <v>2600</v>
      </c>
      <c r="E5" s="3">
        <v>3277700000</v>
      </c>
      <c r="F5" s="3">
        <v>2135563045.0859089</v>
      </c>
      <c r="G5" s="3">
        <v>2318800113.7783699</v>
      </c>
      <c r="H5" s="3">
        <v>2624357869.5908961</v>
      </c>
      <c r="I5" s="3">
        <v>2682941627.3568058</v>
      </c>
      <c r="J5" s="4">
        <f t="shared" si="0"/>
        <v>0.34845683098333924</v>
      </c>
      <c r="K5" s="4">
        <f t="shared" si="1"/>
        <v>0.18145601264398639</v>
      </c>
    </row>
    <row r="6" spans="1:11" x14ac:dyDescent="0.3">
      <c r="A6" s="2">
        <v>15</v>
      </c>
      <c r="B6" s="2">
        <v>500</v>
      </c>
      <c r="C6" s="2">
        <v>40</v>
      </c>
      <c r="D6" s="2">
        <v>2800</v>
      </c>
      <c r="E6" s="3">
        <v>3368700000</v>
      </c>
      <c r="F6" s="3">
        <v>2238915034.430923</v>
      </c>
      <c r="G6" s="3">
        <v>2223721220.868278</v>
      </c>
      <c r="H6" s="3">
        <v>2598772204.7303448</v>
      </c>
      <c r="I6" s="3">
        <v>2577121067.668222</v>
      </c>
      <c r="J6" s="4">
        <f t="shared" si="0"/>
        <v>0.33537713823405974</v>
      </c>
      <c r="K6" s="4">
        <f t="shared" si="1"/>
        <v>0.22855338714330609</v>
      </c>
    </row>
    <row r="7" spans="1:11" x14ac:dyDescent="0.3">
      <c r="A7" s="2">
        <v>16</v>
      </c>
      <c r="B7" s="2">
        <v>550</v>
      </c>
      <c r="C7" s="2">
        <v>40</v>
      </c>
      <c r="D7" s="2">
        <v>2800</v>
      </c>
      <c r="E7" s="3">
        <v>3417600000</v>
      </c>
      <c r="F7" s="3">
        <v>2258356919.795845</v>
      </c>
      <c r="G7" s="3">
        <v>2101327239.089684</v>
      </c>
      <c r="H7" s="3">
        <v>2695804185.333993</v>
      </c>
      <c r="I7" s="3">
        <v>2759440278.3551979</v>
      </c>
      <c r="J7" s="4">
        <f t="shared" si="0"/>
        <v>0.33919799865524197</v>
      </c>
      <c r="K7" s="4">
        <f t="shared" si="1"/>
        <v>0.19257950656741635</v>
      </c>
    </row>
    <row r="8" spans="1:11" x14ac:dyDescent="0.3">
      <c r="A8" s="2">
        <v>17</v>
      </c>
      <c r="B8" s="2">
        <v>600</v>
      </c>
      <c r="C8" s="2">
        <v>40</v>
      </c>
      <c r="D8" s="2">
        <v>3100</v>
      </c>
      <c r="E8" s="3">
        <v>3772600000</v>
      </c>
      <c r="F8" s="3">
        <v>2179121745.6778722</v>
      </c>
      <c r="G8" s="3">
        <v>2185218926.685183</v>
      </c>
      <c r="H8" s="3">
        <v>2863630989.6812749</v>
      </c>
      <c r="I8" s="3">
        <v>3016832324.0459018</v>
      </c>
      <c r="J8" s="4">
        <f t="shared" si="0"/>
        <v>0.42238197909190683</v>
      </c>
      <c r="K8" s="4">
        <f t="shared" si="1"/>
        <v>0.20033072044587241</v>
      </c>
    </row>
    <row r="9" spans="1:11" x14ac:dyDescent="0.3">
      <c r="A9" s="2">
        <v>18</v>
      </c>
      <c r="B9" s="2">
        <v>650</v>
      </c>
      <c r="C9" s="2">
        <v>40</v>
      </c>
      <c r="D9" s="2">
        <v>3100</v>
      </c>
      <c r="E9" s="3">
        <v>3755400000</v>
      </c>
      <c r="F9" s="3">
        <v>2139323583.033793</v>
      </c>
      <c r="G9" s="3">
        <v>2537646708.6516972</v>
      </c>
      <c r="H9" s="3">
        <v>2854293012.7398229</v>
      </c>
      <c r="I9" s="3">
        <v>2869641780.2495809</v>
      </c>
      <c r="J9" s="4">
        <f t="shared" si="0"/>
        <v>0.43033403018751853</v>
      </c>
      <c r="K9" s="4">
        <f t="shared" si="1"/>
        <v>0.23586254986164434</v>
      </c>
    </row>
    <row r="10" spans="1:11" x14ac:dyDescent="0.3">
      <c r="A10" s="2">
        <v>19</v>
      </c>
      <c r="B10" s="2">
        <v>700</v>
      </c>
      <c r="C10" s="2">
        <v>40</v>
      </c>
      <c r="D10" s="2">
        <v>3100</v>
      </c>
      <c r="E10" s="3">
        <v>3949300000</v>
      </c>
      <c r="F10" s="3">
        <v>2502298500.8749328</v>
      </c>
      <c r="G10" s="3">
        <v>2662331144.0662322</v>
      </c>
      <c r="H10" s="3">
        <v>2940757026.3207469</v>
      </c>
      <c r="I10" s="3">
        <v>3055221257.7708669</v>
      </c>
      <c r="J10" s="4">
        <f t="shared" si="0"/>
        <v>0.36639442410682077</v>
      </c>
      <c r="K10" s="4">
        <f t="shared" si="1"/>
        <v>0.22638916826504271</v>
      </c>
    </row>
    <row r="11" spans="1:11" x14ac:dyDescent="0.3">
      <c r="A11" s="2">
        <v>20</v>
      </c>
      <c r="B11" s="2">
        <v>750</v>
      </c>
      <c r="C11" s="2">
        <v>40</v>
      </c>
      <c r="D11" s="2">
        <v>3200</v>
      </c>
      <c r="E11" s="3">
        <v>3863400000</v>
      </c>
      <c r="F11" s="3">
        <v>2341831528.887383</v>
      </c>
      <c r="G11" s="3">
        <v>2455661253.1040812</v>
      </c>
      <c r="H11" s="3">
        <v>3034739138.04601</v>
      </c>
      <c r="I11" s="3">
        <v>3008944980.7425971</v>
      </c>
      <c r="J11" s="4">
        <f t="shared" si="0"/>
        <v>0.39384181578729022</v>
      </c>
      <c r="K11" s="4">
        <f t="shared" si="1"/>
        <v>0.2144900507206062</v>
      </c>
    </row>
    <row r="12" spans="1:11" x14ac:dyDescent="0.3">
      <c r="A12" s="5" t="s">
        <v>11</v>
      </c>
      <c r="E12" s="6">
        <f>AVERAGE(E2:E11)</f>
        <v>3404490000</v>
      </c>
      <c r="F12" s="3">
        <f t="shared" ref="F12:K12" si="2">AVERAGE(F2:F11)</f>
        <v>2153330477.8535609</v>
      </c>
      <c r="G12" s="3">
        <f t="shared" si="2"/>
        <v>2231169948.5002108</v>
      </c>
      <c r="H12" s="6">
        <f t="shared" si="2"/>
        <v>2659263793.7669644</v>
      </c>
      <c r="I12" s="3">
        <f t="shared" si="2"/>
        <v>2707036724.2678752</v>
      </c>
      <c r="J12" s="4">
        <f t="shared" si="2"/>
        <v>0.36355526076251649</v>
      </c>
      <c r="K12" s="4">
        <f t="shared" si="2"/>
        <v>0.19945312110799893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 Jin</cp:lastModifiedBy>
  <dcterms:modified xsi:type="dcterms:W3CDTF">2026-07-31T14:09:46Z</dcterms:modified>
</cp:coreProperties>
</file>