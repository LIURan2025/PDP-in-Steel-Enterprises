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cument\phd horizontal topic\宝钢研究资料\多基地生产分工协同\code\在线分享文件\paper_shared_data\results\"/>
    </mc:Choice>
  </mc:AlternateContent>
  <xr:revisionPtr revIDLastSave="0" documentId="13_ncr:1_{3EF466E7-C55F-4DDD-B1E1-46F981F0A35A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period_detail" sheetId="1" r:id="rId1"/>
    <sheet name="period_summary" sheetId="2" r:id="rId2"/>
  </sheets>
  <calcPr calcId="191029"/>
</workbook>
</file>

<file path=xl/calcChain.xml><?xml version="1.0" encoding="utf-8"?>
<calcChain xmlns="http://schemas.openxmlformats.org/spreadsheetml/2006/main">
  <c r="C4" i="2" l="1"/>
  <c r="B4" i="2"/>
  <c r="C3" i="2"/>
  <c r="B3" i="2"/>
  <c r="C2" i="2"/>
  <c r="B2" i="2"/>
</calcChain>
</file>

<file path=xl/sharedStrings.xml><?xml version="1.0" encoding="utf-8"?>
<sst xmlns="http://schemas.openxmlformats.org/spreadsheetml/2006/main" count="8" uniqueCount="7">
  <si>
    <t>periods_per_subset</t>
  </si>
  <si>
    <t>products_per_subproblem</t>
  </si>
  <si>
    <t>instance</t>
  </si>
  <si>
    <t>solve_time_s</t>
  </si>
  <si>
    <t>objective_CNY</t>
  </si>
  <si>
    <t>average_solve_time_s</t>
  </si>
  <si>
    <t>average_objective_CNY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</si>
</sst>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1" applyFont="1" applyAlignment="1">
      <alignment wrapText="1"/>
    </xf>
    <xf numFmtId="0" fontId="0" fillId="0" borderId="1" xfId="1" applyFont="1" applyBorder="1" applyAlignment="1">
      <alignment wrapText="1"/>
    </xf>
    <xf numFmtId="0" fontId="1" fillId="2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showGridLines="0" workbookViewId="0">
      <selection sqref="A1:E1"/>
    </sheetView>
  </sheetViews>
  <sheetFormatPr defaultRowHeight="13.5"/>
  <cols>
    <col min="1" max="1" width="18.75" bestFit="1" customWidth="1"/>
    <col min="2" max="2" width="24.875" bestFit="1" customWidth="1"/>
    <col min="3" max="3" width="8.375" bestFit="1" customWidth="1"/>
    <col min="4" max="4" width="12.625" bestFit="1" customWidth="1"/>
    <col min="5" max="5" width="14.0625" bestFit="1" customWidth="1"/>
  </cols>
  <sheetData>
    <row r="1" spans="1:5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" customHeight="1">
      <c r="A2" s="1">
        <v>3</v>
      </c>
      <c r="B2" s="1">
        <v>80</v>
      </c>
      <c r="C2" s="1">
        <v>1</v>
      </c>
      <c r="D2" s="1">
        <v>10425.78011035919</v>
      </c>
      <c r="E2" s="1">
        <v>770828704.47648954</v>
      </c>
    </row>
    <row r="3" spans="1:5" ht="15" customHeight="1">
      <c r="A3" s="1">
        <v>3</v>
      </c>
      <c r="B3" s="1">
        <v>80</v>
      </c>
      <c r="C3" s="1">
        <v>2</v>
      </c>
      <c r="D3" s="1">
        <v>10172.482904672621</v>
      </c>
      <c r="E3" s="1">
        <v>930304213.97696507</v>
      </c>
    </row>
    <row r="4" spans="1:5" ht="15" customHeight="1">
      <c r="A4" s="1">
        <v>3</v>
      </c>
      <c r="B4" s="1">
        <v>80</v>
      </c>
      <c r="C4" s="1">
        <v>3</v>
      </c>
      <c r="D4" s="1">
        <v>12629.88129329681</v>
      </c>
      <c r="E4" s="1">
        <v>929482726.12980056</v>
      </c>
    </row>
    <row r="5" spans="1:5" ht="15" customHeight="1">
      <c r="A5" s="1">
        <v>3</v>
      </c>
      <c r="B5" s="1">
        <v>80</v>
      </c>
      <c r="C5" s="1">
        <v>4</v>
      </c>
      <c r="D5" s="1">
        <v>13648.696162462231</v>
      </c>
      <c r="E5" s="1">
        <v>994544759.29905272</v>
      </c>
    </row>
    <row r="6" spans="1:5" ht="15" customHeight="1">
      <c r="A6" s="1">
        <v>3</v>
      </c>
      <c r="B6" s="1">
        <v>80</v>
      </c>
      <c r="C6" s="1">
        <v>5</v>
      </c>
      <c r="D6" s="1">
        <v>12599.188301086429</v>
      </c>
      <c r="E6" s="1">
        <v>910576649.95078015</v>
      </c>
    </row>
    <row r="7" spans="1:5" ht="15" customHeight="1">
      <c r="A7" s="1">
        <v>3</v>
      </c>
      <c r="B7" s="1">
        <v>80</v>
      </c>
      <c r="C7" s="1">
        <v>6</v>
      </c>
      <c r="D7" s="1">
        <v>13997.00908374786</v>
      </c>
      <c r="E7" s="1">
        <v>990784518.31844521</v>
      </c>
    </row>
    <row r="8" spans="1:5" ht="15" customHeight="1">
      <c r="A8" s="1">
        <v>3</v>
      </c>
      <c r="B8" s="1">
        <v>80</v>
      </c>
      <c r="C8" s="1">
        <v>7</v>
      </c>
      <c r="D8" s="1">
        <v>13561.19226145744</v>
      </c>
      <c r="E8" s="1">
        <v>1213176824.214453</v>
      </c>
    </row>
    <row r="9" spans="1:5" ht="15" customHeight="1">
      <c r="A9" s="1">
        <v>3</v>
      </c>
      <c r="B9" s="1">
        <v>80</v>
      </c>
      <c r="C9" s="1">
        <v>8</v>
      </c>
      <c r="D9" s="1">
        <v>19315.855434894562</v>
      </c>
      <c r="E9" s="1">
        <v>1137917167.6980979</v>
      </c>
    </row>
    <row r="10" spans="1:5" ht="15" customHeight="1">
      <c r="A10" s="1">
        <v>3</v>
      </c>
      <c r="B10" s="1">
        <v>80</v>
      </c>
      <c r="C10" s="1">
        <v>9</v>
      </c>
      <c r="D10" s="1">
        <v>17896.00365066528</v>
      </c>
      <c r="E10" s="1">
        <v>1331469357.222646</v>
      </c>
    </row>
    <row r="11" spans="1:5" ht="15" customHeight="1">
      <c r="A11" s="1">
        <v>3</v>
      </c>
      <c r="B11" s="1">
        <v>80</v>
      </c>
      <c r="C11" s="1">
        <v>10</v>
      </c>
      <c r="D11" s="1">
        <v>23268.674118518829</v>
      </c>
      <c r="E11" s="1">
        <v>1333133226.582335</v>
      </c>
    </row>
    <row r="12" spans="1:5" ht="15" customHeight="1">
      <c r="A12" s="1">
        <v>4</v>
      </c>
      <c r="B12" s="1">
        <v>60</v>
      </c>
      <c r="C12" s="1">
        <v>1</v>
      </c>
      <c r="D12" s="1">
        <v>9893.4940259456635</v>
      </c>
      <c r="E12" s="1">
        <v>776720579.00272191</v>
      </c>
    </row>
    <row r="13" spans="1:5" ht="15" customHeight="1">
      <c r="A13" s="1">
        <v>4</v>
      </c>
      <c r="B13" s="1">
        <v>60</v>
      </c>
      <c r="C13" s="1">
        <v>2</v>
      </c>
      <c r="D13" s="1">
        <v>9406.2047317028046</v>
      </c>
      <c r="E13" s="1">
        <v>930839840.68834734</v>
      </c>
    </row>
    <row r="14" spans="1:5" ht="15" customHeight="1">
      <c r="A14" s="1">
        <v>4</v>
      </c>
      <c r="B14" s="1">
        <v>60</v>
      </c>
      <c r="C14" s="1">
        <v>3</v>
      </c>
      <c r="D14" s="1">
        <v>13490.39387583733</v>
      </c>
      <c r="E14" s="1">
        <v>920957977.14692736</v>
      </c>
    </row>
    <row r="15" spans="1:5" ht="15" customHeight="1">
      <c r="A15" s="1">
        <v>4</v>
      </c>
      <c r="B15" s="1">
        <v>60</v>
      </c>
      <c r="C15" s="1">
        <v>4</v>
      </c>
      <c r="D15" s="1">
        <v>14840.9691593647</v>
      </c>
      <c r="E15" s="1">
        <v>994299394.32168806</v>
      </c>
    </row>
    <row r="16" spans="1:5" ht="15" customHeight="1">
      <c r="A16" s="1">
        <v>4</v>
      </c>
      <c r="B16" s="1">
        <v>60</v>
      </c>
      <c r="C16" s="1">
        <v>5</v>
      </c>
      <c r="D16" s="1">
        <v>14449.384397983549</v>
      </c>
      <c r="E16" s="1">
        <v>911887267.55186486</v>
      </c>
    </row>
    <row r="17" spans="1:5" ht="15" customHeight="1">
      <c r="A17" s="1">
        <v>4</v>
      </c>
      <c r="B17" s="1">
        <v>60</v>
      </c>
      <c r="C17" s="1">
        <v>6</v>
      </c>
      <c r="D17" s="1">
        <v>13016.60051512718</v>
      </c>
      <c r="E17" s="1">
        <v>989876391.30589724</v>
      </c>
    </row>
    <row r="18" spans="1:5" ht="15" customHeight="1">
      <c r="A18" s="1">
        <v>4</v>
      </c>
      <c r="B18" s="1">
        <v>60</v>
      </c>
      <c r="C18" s="1">
        <v>7</v>
      </c>
      <c r="D18" s="1">
        <v>15535.73143219948</v>
      </c>
      <c r="E18" s="1">
        <v>1210806965.718246</v>
      </c>
    </row>
    <row r="19" spans="1:5" ht="15" customHeight="1">
      <c r="A19" s="1">
        <v>4</v>
      </c>
      <c r="B19" s="1">
        <v>60</v>
      </c>
      <c r="C19" s="1">
        <v>8</v>
      </c>
      <c r="D19" s="1">
        <v>23837.424139738079</v>
      </c>
      <c r="E19" s="1">
        <v>1140138103.332164</v>
      </c>
    </row>
    <row r="20" spans="1:5" ht="15" customHeight="1">
      <c r="A20" s="1">
        <v>4</v>
      </c>
      <c r="B20" s="1">
        <v>60</v>
      </c>
      <c r="C20" s="1">
        <v>9</v>
      </c>
      <c r="D20" s="1">
        <v>18119.019285917278</v>
      </c>
      <c r="E20" s="1">
        <v>1335566440.693244</v>
      </c>
    </row>
    <row r="21" spans="1:5" ht="15" customHeight="1">
      <c r="A21" s="1">
        <v>4</v>
      </c>
      <c r="B21" s="1">
        <v>60</v>
      </c>
      <c r="C21" s="1">
        <v>10</v>
      </c>
      <c r="D21" s="1">
        <v>21029.565768957142</v>
      </c>
      <c r="E21" s="1">
        <v>1340613127.4011929</v>
      </c>
    </row>
    <row r="22" spans="1:5" ht="15" customHeight="1">
      <c r="A22" s="1">
        <v>6</v>
      </c>
      <c r="B22" s="1">
        <v>40</v>
      </c>
      <c r="C22" s="1">
        <v>1</v>
      </c>
      <c r="D22" s="1">
        <v>12449.848307132719</v>
      </c>
      <c r="E22" s="1">
        <v>783167925.22770977</v>
      </c>
    </row>
    <row r="23" spans="1:5" ht="15" customHeight="1">
      <c r="A23" s="1">
        <v>6</v>
      </c>
      <c r="B23" s="1">
        <v>40</v>
      </c>
      <c r="C23" s="1">
        <v>2</v>
      </c>
      <c r="D23" s="1">
        <v>11099.11607003212</v>
      </c>
      <c r="E23" s="1">
        <v>932932750.48298979</v>
      </c>
    </row>
    <row r="24" spans="1:5" ht="15" customHeight="1">
      <c r="A24" s="1">
        <v>6</v>
      </c>
      <c r="B24" s="1">
        <v>40</v>
      </c>
      <c r="C24" s="1">
        <v>3</v>
      </c>
      <c r="D24" s="1">
        <v>14926.16828727722</v>
      </c>
      <c r="E24" s="1">
        <v>926831200.31681848</v>
      </c>
    </row>
    <row r="25" spans="1:5" ht="15" customHeight="1">
      <c r="A25" s="1">
        <v>6</v>
      </c>
      <c r="B25" s="1">
        <v>40</v>
      </c>
      <c r="C25" s="1">
        <v>4</v>
      </c>
      <c r="D25" s="1">
        <v>14813.69350647926</v>
      </c>
      <c r="E25" s="1">
        <v>1003685825.530189</v>
      </c>
    </row>
    <row r="26" spans="1:5" ht="15" customHeight="1">
      <c r="A26" s="1">
        <v>6</v>
      </c>
      <c r="B26" s="1">
        <v>40</v>
      </c>
      <c r="C26" s="1">
        <v>5</v>
      </c>
      <c r="D26" s="1">
        <v>18876.47681188583</v>
      </c>
      <c r="E26" s="1">
        <v>912733797.8186152</v>
      </c>
    </row>
    <row r="27" spans="1:5" ht="15" customHeight="1">
      <c r="A27" s="1">
        <v>6</v>
      </c>
      <c r="B27" s="1">
        <v>40</v>
      </c>
      <c r="C27" s="1">
        <v>6</v>
      </c>
      <c r="D27" s="1">
        <v>14875.28753757477</v>
      </c>
      <c r="E27" s="1">
        <v>993505677.50984812</v>
      </c>
    </row>
    <row r="28" spans="1:5" ht="15" customHeight="1">
      <c r="A28" s="1">
        <v>6</v>
      </c>
      <c r="B28" s="1">
        <v>40</v>
      </c>
      <c r="C28" s="1">
        <v>7</v>
      </c>
      <c r="D28" s="1">
        <v>14735.972831964489</v>
      </c>
      <c r="E28" s="1">
        <v>1212532902.0341959</v>
      </c>
    </row>
    <row r="29" spans="1:5" ht="15" customHeight="1">
      <c r="A29" s="1">
        <v>6</v>
      </c>
      <c r="B29" s="1">
        <v>40</v>
      </c>
      <c r="C29" s="1">
        <v>8</v>
      </c>
      <c r="D29" s="1">
        <v>23388.947206497189</v>
      </c>
      <c r="E29" s="1">
        <v>1140095704.564203</v>
      </c>
    </row>
    <row r="30" spans="1:5" ht="15" customHeight="1">
      <c r="A30" s="1">
        <v>6</v>
      </c>
      <c r="B30" s="1">
        <v>40</v>
      </c>
      <c r="C30" s="1">
        <v>9</v>
      </c>
      <c r="D30" s="1">
        <v>19240.33606100082</v>
      </c>
      <c r="E30" s="1">
        <v>1336651229.945864</v>
      </c>
    </row>
    <row r="31" spans="1:5" ht="15" customHeight="1">
      <c r="A31" s="2">
        <v>6</v>
      </c>
      <c r="B31" s="2">
        <v>40</v>
      </c>
      <c r="C31" s="2">
        <v>10</v>
      </c>
      <c r="D31" s="2">
        <v>19688.186091423031</v>
      </c>
      <c r="E31" s="2">
        <v>1342704159.0848811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showGridLines="0" tabSelected="1" workbookViewId="0">
      <selection sqref="A1:C1"/>
    </sheetView>
  </sheetViews>
  <sheetFormatPr defaultRowHeight="13.5"/>
  <cols>
    <col min="1" max="1" width="18.75" bestFit="1" customWidth="1"/>
    <col min="2" max="2" width="20.875" bestFit="1" customWidth="1"/>
    <col min="3" max="3" width="22.375" bestFit="1" customWidth="1"/>
  </cols>
  <sheetData>
    <row r="1" spans="1:3" ht="15" customHeight="1">
      <c r="A1" s="3" t="s">
        <v>0</v>
      </c>
      <c r="B1" s="3" t="s">
        <v>5</v>
      </c>
      <c r="C1" s="3" t="s">
        <v>6</v>
      </c>
    </row>
    <row r="2" spans="1:3" ht="15" customHeight="1">
      <c r="A2" s="1">
        <v>3</v>
      </c>
      <c r="B2" s="1">
        <f>AVERAGEIF(period_detail!$A:$A,A2,period_detail!$D:$D)</f>
        <v>14751.476332116126</v>
      </c>
      <c r="C2" s="1">
        <f>AVERAGEIF(period_detail!$A:$A,A2,period_detail!$E:$E)</f>
        <v>1054221814.7869065</v>
      </c>
    </row>
    <row r="3" spans="1:3" ht="15" customHeight="1">
      <c r="A3" s="1">
        <v>4</v>
      </c>
      <c r="B3" s="1">
        <f>AVERAGEIF(period_detail!$A:$A,A3,period_detail!$D:$D)</f>
        <v>15361.878733277321</v>
      </c>
      <c r="C3" s="1">
        <f>AVERAGEIF(period_detail!$A:$A,A3,period_detail!$E:$E)</f>
        <v>1055170608.7162294</v>
      </c>
    </row>
    <row r="4" spans="1:3" ht="15" customHeight="1">
      <c r="A4" s="2">
        <v>6</v>
      </c>
      <c r="B4" s="2">
        <f>AVERAGEIF(period_detail!$A:$A,A4,period_detail!$D:$D)</f>
        <v>16409.403271126746</v>
      </c>
      <c r="C4" s="2">
        <f>AVERAGEIF(period_detail!$A:$A,A4,period_detail!$E:$E)</f>
        <v>1058484117.2515316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period_detail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 Jin</cp:lastModifiedBy>
  <dcterms:modified xsi:type="dcterms:W3CDTF">2026-07-31T14:08:08Z</dcterms:modified>
</cp:coreProperties>
</file>